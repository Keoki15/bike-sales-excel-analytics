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oki/Downloads/"/>
    </mc:Choice>
  </mc:AlternateContent>
  <xr:revisionPtr revIDLastSave="0" documentId="13_ncr:1_{7DFDC01D-5438-FF40-A5A6-8F63061435BF}" xr6:coauthVersionLast="47" xr6:coauthVersionMax="47" xr10:uidLastSave="{00000000-0000-0000-0000-000000000000}"/>
  <bookViews>
    <workbookView xWindow="13600" yWindow="660" windowWidth="16640" windowHeight="17760" activeTab="1" xr2:uid="{00000000-000D-0000-FFFF-FFFF00000000}"/>
  </bookViews>
  <sheets>
    <sheet name="Sheet1" sheetId="2" r:id="rId1"/>
    <sheet name="Sheet2" sheetId="4" r:id="rId2"/>
    <sheet name="Bike Sales" sheetId="1" r:id="rId3"/>
  </sheets>
  <calcPr calcId="191028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<sst xmlns="http://schemas.openxmlformats.org/spreadsheetml/2006/main" count="869" uniqueCount="163">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</sst>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Sheet1!$A$6:$A$14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Sheet1!$B$6:$B$14</c:f>
              <c:numCache>
                <c:formatCode>General</c:formatCode>
                <c:ptCount val="6"/>
                <c:pt idx="0">
                  <c:v>9</c:v>
                </c:pt>
                <c:pt idx="1">
                  <c:v>17</c:v>
                </c:pt>
                <c:pt idx="2">
                  <c:v>17</c:v>
                </c:pt>
                <c:pt idx="3">
                  <c:v>2</c:v>
                </c:pt>
                <c:pt idx="4">
                  <c:v>3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5-5546-A7C3-1F856085788E}"/>
            </c:ext>
          </c:extLst>
        </c:ser>
        <c:ser>
          <c:idx val="1"/>
          <c:order val="1"/>
          <c:tx>
            <c:strRef>
              <c:f>Sheet1!$C$4:$C$5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Sheet1!$A$6:$A$14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Sheet1!$C$6:$C$14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5-5546-A7C3-1F856085788E}"/>
            </c:ext>
          </c:extLst>
        </c:ser>
        <c:ser>
          <c:idx val="2"/>
          <c:order val="2"/>
          <c:tx>
            <c:strRef>
              <c:f>Sheet1!$D$4:$D$5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Sheet1!$A$6:$A$14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Sheet1!$D$6:$D$14</c:f>
              <c:numCache>
                <c:formatCode>General</c:formatCode>
                <c:ptCount val="6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35-5546-A7C3-1F856085788E}"/>
            </c:ext>
          </c:extLst>
        </c:ser>
        <c:ser>
          <c:idx val="3"/>
          <c:order val="3"/>
          <c:tx>
            <c:strRef>
              <c:f>Sheet1!$E$4:$E$5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Sheet1!$A$6:$A$14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Sheet1!$E$6:$E$14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35-5546-A7C3-1F856085788E}"/>
            </c:ext>
          </c:extLst>
        </c:ser>
        <c:ser>
          <c:idx val="4"/>
          <c:order val="4"/>
          <c:tx>
            <c:strRef>
              <c:f>Sheet1!$F$4:$F$5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Sheet1!$A$6:$A$14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Sheet1!$F$6:$F$14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35-5546-A7C3-1F856085788E}"/>
            </c:ext>
          </c:extLst>
        </c:ser>
        <c:ser>
          <c:idx val="5"/>
          <c:order val="5"/>
          <c:tx>
            <c:strRef>
              <c:f>Sheet1!$G$4:$G$5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Sheet1!$A$6:$A$14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Sheet1!$G$6:$G$14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35-5546-A7C3-1F856085788E}"/>
            </c:ext>
          </c:extLst>
        </c:ser>
        <c:ser>
          <c:idx val="6"/>
          <c:order val="6"/>
          <c:tx>
            <c:strRef>
              <c:f>Sheet1!$H$4:$H$5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Sheet1!$A$6:$A$14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Sheet1!$H$6:$H$14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27</c:v>
                </c:pt>
                <c:pt idx="3">
                  <c:v>0</c:v>
                </c:pt>
                <c:pt idx="4">
                  <c:v>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35-5546-A7C3-1F856085788E}"/>
            </c:ext>
          </c:extLst>
        </c:ser>
        <c:ser>
          <c:idx val="7"/>
          <c:order val="7"/>
          <c:tx>
            <c:strRef>
              <c:f>Sheet1!$I$4:$I$5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Sheet1!$A$6:$A$14</c:f>
              <c:multiLvlStrCache>
                <c:ptCount val="6"/>
                <c:lvl>
                  <c:pt idx="0">
                    <c:v>Youth (&lt;25)</c:v>
                  </c:pt>
                  <c:pt idx="1">
                    <c:v>Young Adults (25-34)</c:v>
                  </c:pt>
                  <c:pt idx="2">
                    <c:v>Adults (35-64)</c:v>
                  </c:pt>
                  <c:pt idx="3">
                    <c:v>Youth (&lt;25)</c:v>
                  </c:pt>
                  <c:pt idx="4">
                    <c:v>Young Adults (25-34)</c:v>
                  </c:pt>
                  <c:pt idx="5">
                    <c:v>Adults (35-64)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Sheet1!$I$6:$I$14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35-5546-A7C3-1F8560857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3539391"/>
        <c:axId val="1463538495"/>
      </c:barChart>
      <c:catAx>
        <c:axId val="146353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38495"/>
        <c:crosses val="autoZero"/>
        <c:auto val="1"/>
        <c:lblAlgn val="ctr"/>
        <c:lblOffset val="100"/>
        <c:noMultiLvlLbl val="0"/>
      </c:catAx>
      <c:valAx>
        <c:axId val="146353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3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840341</xdr:colOff>
      <xdr:row>17</xdr:row>
      <xdr:rowOff>41238</xdr:rowOff>
    </xdr:from>
    <xdr:to>
      <xdr:col>6</xdr:col>
      <xdr:colOff>322352</xdr:colOff>
      <xdr:row>31</xdr:row>
      <xdr:rowOff>117438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8AB9F8-5AE5-95E2-37F4-2A2FADE10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Charles Jr." refreshedDate="46163.832232060187" createdVersion="8" refreshedVersion="8" minRefreshableVersion="3" recordCount="88" xr:uid="{1CE42EDB-9FC3-CC48-A609-EB1782892645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 count="1">
        <s v="December"/>
      </sharedItems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18391031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x v="0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695"/>
    <d v="2021-12-01T00:00:00"/>
    <n v="1"/>
    <x v="0"/>
    <x v="0"/>
    <n v="44"/>
    <x v="0"/>
    <x v="1"/>
    <x v="1"/>
    <s v="England"/>
    <s v="Bikes"/>
    <s v="Mountain Bikes"/>
    <s v="Mountain-200 Silver, 42"/>
    <x v="1"/>
    <n v="1266"/>
    <n v="2320"/>
    <n v="1054"/>
    <n v="1266"/>
    <n v="2320"/>
  </r>
  <r>
    <s v="000261697"/>
    <d v="2021-12-02T00:00:00"/>
    <n v="2"/>
    <x v="0"/>
    <x v="0"/>
    <n v="37"/>
    <x v="0"/>
    <x v="1"/>
    <x v="0"/>
    <s v="California"/>
    <s v="Bikes"/>
    <s v="Mountain Bikes"/>
    <s v="Mountain-400-W Silver, 46"/>
    <x v="2"/>
    <n v="420"/>
    <n v="769"/>
    <n v="698"/>
    <n v="840"/>
    <n v="1538"/>
  </r>
  <r>
    <s v="000261698"/>
    <d v="2021-12-02T00:00:00"/>
    <n v="2"/>
    <x v="0"/>
    <x v="0"/>
    <n v="31"/>
    <x v="1"/>
    <x v="0"/>
    <x v="2"/>
    <s v="New South Wales"/>
    <s v="Bikes"/>
    <s v="Mountain Bikes"/>
    <s v="Mountain-400-W Silver, 42"/>
    <x v="1"/>
    <n v="420"/>
    <n v="769"/>
    <n v="349"/>
    <n v="420"/>
    <n v="769"/>
  </r>
  <r>
    <s v="000261699"/>
    <d v="2021-12-03T00:00:00"/>
    <n v="3"/>
    <x v="0"/>
    <x v="0"/>
    <n v="37"/>
    <x v="0"/>
    <x v="0"/>
    <x v="3"/>
    <s v="California"/>
    <s v="Bikes"/>
    <s v="Mountain Bikes"/>
    <s v="Mountain-200 Black, 46"/>
    <x v="2"/>
    <n v="1252"/>
    <n v="2295"/>
    <n v="2086"/>
    <n v="2504"/>
    <n v="4590"/>
  </r>
  <r>
    <s v="000261700"/>
    <d v="2021-12-03T00:00:00"/>
    <n v="3"/>
    <x v="0"/>
    <x v="0"/>
    <n v="24"/>
    <x v="2"/>
    <x v="0"/>
    <x v="1"/>
    <s v="England"/>
    <s v="Bikes"/>
    <s v="Mountain Bikes"/>
    <s v="Mountain-200 Black, 38"/>
    <x v="1"/>
    <n v="1252"/>
    <n v="2295"/>
    <n v="1043"/>
    <n v="1252"/>
    <n v="2295"/>
  </r>
  <r>
    <s v="000261701"/>
    <d v="2021-12-03T00:00:00"/>
    <n v="3"/>
    <x v="0"/>
    <x v="0"/>
    <n v="37"/>
    <x v="0"/>
    <x v="1"/>
    <x v="4"/>
    <s v="Washington"/>
    <s v="Bikes"/>
    <s v="Mountain Bikes"/>
    <s v="Mountain-200 Black, 46"/>
    <x v="1"/>
    <n v="1252"/>
    <n v="2295"/>
    <n v="1043"/>
    <n v="1252"/>
    <n v="2295"/>
  </r>
  <r>
    <s v="000261702"/>
    <d v="2021-12-04T00:00:00"/>
    <n v="4"/>
    <x v="0"/>
    <x v="0"/>
    <n v="31"/>
    <x v="1"/>
    <x v="0"/>
    <x v="2"/>
    <s v="New South Wales"/>
    <s v="Bikes"/>
    <s v="Mountain Bikes"/>
    <s v="Mountain-400-W Silver, 42"/>
    <x v="0"/>
    <n v="420"/>
    <n v="769"/>
    <n v="1396"/>
    <n v="1680"/>
    <n v="3076"/>
  </r>
  <r>
    <s v="000261703"/>
    <d v="2021-12-05T00:00:00"/>
    <n v="5"/>
    <x v="0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04"/>
    <d v="2021-12-05T00:00:00"/>
    <m/>
    <x v="0"/>
    <x v="0"/>
    <n v="42"/>
    <x v="0"/>
    <x v="1"/>
    <x v="5"/>
    <s v="Nordrhein-Westfalen"/>
    <s v="Bikes"/>
    <s v="Mountain Bikes"/>
    <s v="Mountain-200 Black, 38"/>
    <x v="0"/>
    <n v="1252"/>
    <n v="2295"/>
    <n v="4172"/>
    <n v="5008"/>
    <n v="9180"/>
  </r>
  <r>
    <s v="000261705"/>
    <d v="2021-12-05T00:00:00"/>
    <n v="5"/>
    <x v="0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06"/>
    <d v="2021-12-05T00:00:00"/>
    <n v="5"/>
    <x v="0"/>
    <x v="0"/>
    <n v="37"/>
    <x v="0"/>
    <x v="0"/>
    <x v="0"/>
    <s v="California"/>
    <s v="Bikes"/>
    <s v="Mountain Bikes"/>
    <s v="Mountain-200 Black, 46"/>
    <x v="1"/>
    <n v="1252"/>
    <n v="2295"/>
    <n v="1043"/>
    <n v="1252"/>
    <n v="2295"/>
  </r>
  <r>
    <s v="000261707"/>
    <d v="2021-12-06T00:00:00"/>
    <n v="6"/>
    <x v="0"/>
    <x v="0"/>
    <n v="23"/>
    <x v="2"/>
    <x v="1"/>
    <x v="1"/>
    <s v="England"/>
    <s v="Bikes"/>
    <s v="Mountain Bikes"/>
    <s v="Mountain-400-W Silver, 46"/>
    <x v="3"/>
    <n v="420"/>
    <n v="769"/>
    <n v="1047"/>
    <n v="1260"/>
    <n v="2307"/>
  </r>
  <r>
    <s v="000261708"/>
    <d v="2021-12-06T00:00:00"/>
    <n v="6"/>
    <x v="0"/>
    <x v="0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09"/>
    <d v="2021-12-06T00:00:00"/>
    <n v="6"/>
    <x v="0"/>
    <x v="0"/>
    <n v="36"/>
    <x v="0"/>
    <x v="1"/>
    <x v="2"/>
    <s v="New South Wales"/>
    <s v="Bikes"/>
    <s v="Mountain Bikes"/>
    <s v="Mountain-200 Black, 42"/>
    <x v="1"/>
    <n v="1252"/>
    <n v="2295"/>
    <n v="1043"/>
    <n v="1252"/>
    <n v="2295"/>
  </r>
  <r>
    <s v="000261710"/>
    <d v="2021-12-06T00:00:00"/>
    <n v="6"/>
    <x v="0"/>
    <x v="0"/>
    <n v="47"/>
    <x v="0"/>
    <x v="1"/>
    <x v="1"/>
    <s v="England"/>
    <s v="Bikes"/>
    <s v="Mountain Bikes"/>
    <s v="Mountain-200 Silver, 38"/>
    <x v="1"/>
    <n v="1266"/>
    <n v="2320"/>
    <n v="1054"/>
    <n v="1266"/>
    <n v="2320"/>
  </r>
  <r>
    <s v="000261711"/>
    <d v="2021-12-07T00:00:00"/>
    <n v="7"/>
    <x v="0"/>
    <x v="0"/>
    <n v="30"/>
    <x v="1"/>
    <x v="1"/>
    <x v="0"/>
    <s v="California"/>
    <s v="Bikes"/>
    <s v="Mountain Bikes"/>
    <s v="Mountain-400-W Silver, 38"/>
    <x v="0"/>
    <n v="420"/>
    <n v="769"/>
    <n v="1396"/>
    <n v="1680"/>
    <n v="3076"/>
  </r>
  <r>
    <s v="000261712"/>
    <d v="2021-12-07T00:00:00"/>
    <n v="7"/>
    <x v="0"/>
    <x v="0"/>
    <n v="38"/>
    <x v="0"/>
    <x v="1"/>
    <x v="0"/>
    <s v="California"/>
    <s v="Bikes"/>
    <s v="Mountain Bikes"/>
    <s v="Mountain-200 Silver, 42"/>
    <x v="2"/>
    <n v="1266"/>
    <n v="2320"/>
    <n v="2108"/>
    <n v="2532"/>
    <n v="4640"/>
  </r>
  <r>
    <s v="000261713"/>
    <d v="2021-12-08T00:00:00"/>
    <n v="8"/>
    <x v="0"/>
    <x v="0"/>
    <n v="19"/>
    <x v="2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14"/>
    <d v="2021-12-08T00:00:00"/>
    <n v="8"/>
    <x v="0"/>
    <x v="0"/>
    <n v="30"/>
    <x v="1"/>
    <x v="0"/>
    <x v="6"/>
    <s v="British Columbia"/>
    <s v="Bikes"/>
    <s v="Mountain Bikes"/>
    <s v="Mountain-200 Silver, 38"/>
    <x v="0"/>
    <n v="1266"/>
    <n v="2320"/>
    <n v="4216"/>
    <n v="5064"/>
    <n v="9280"/>
  </r>
  <r>
    <s v="000261715"/>
    <d v="2021-12-08T00:00:00"/>
    <n v="8"/>
    <x v="0"/>
    <x v="0"/>
    <n v="39"/>
    <x v="0"/>
    <x v="0"/>
    <x v="0"/>
    <s v="Oregon"/>
    <s v="Bikes"/>
    <s v="Mountain Bikes"/>
    <s v="Mountain-500 Black, 42"/>
    <x v="2"/>
    <n v="1252"/>
    <n v="2295"/>
    <n v="2086"/>
    <n v="2504"/>
    <n v="4590"/>
  </r>
  <r>
    <s v="000261716"/>
    <d v="2021-12-08T00:00:00"/>
    <n v="8"/>
    <x v="0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17"/>
    <d v="2021-12-09T00:00:00"/>
    <n v="9"/>
    <x v="0"/>
    <x v="0"/>
    <n v="33"/>
    <x v="1"/>
    <x v="0"/>
    <x v="2"/>
    <s v="Victoria"/>
    <s v="Bikes"/>
    <s v="Mountain Bikes"/>
    <s v="Mountain-100 Black, 38"/>
    <x v="2"/>
    <n v="1898"/>
    <n v="3375"/>
    <n v="2954"/>
    <n v="3796"/>
    <n v="6750"/>
  </r>
  <r>
    <s v="000261718"/>
    <d v="2021-12-09T00:00:00"/>
    <n v="9"/>
    <x v="0"/>
    <x v="0"/>
    <n v="41"/>
    <x v="0"/>
    <x v="0"/>
    <x v="5"/>
    <s v="Hamburg"/>
    <s v="Bikes"/>
    <s v="Mountain Bikes"/>
    <s v="Mountain-200 Silver, 42"/>
    <x v="1"/>
    <n v="1266"/>
    <n v="2320"/>
    <n v="1054"/>
    <n v="1266"/>
    <n v="2320"/>
  </r>
  <r>
    <s v="000261719"/>
    <d v="2021-12-10T00:00:00"/>
    <n v="10"/>
    <x v="0"/>
    <x v="0"/>
    <n v="34"/>
    <x v="1"/>
    <x v="0"/>
    <x v="0"/>
    <s v="California"/>
    <s v="Bikes"/>
    <s v="Mountain Bikes"/>
    <s v="Mountain-200 Black, 42"/>
    <x v="2"/>
    <n v="1252"/>
    <n v="2295"/>
    <n v="2086"/>
    <n v="2504"/>
    <n v="4590"/>
  </r>
  <r>
    <s v="000261720"/>
    <d v="2021-12-10T00:00:00"/>
    <n v="10"/>
    <x v="0"/>
    <x v="0"/>
    <n v="40"/>
    <x v="0"/>
    <x v="1"/>
    <x v="2"/>
    <s v="New South Wales"/>
    <s v="Bikes"/>
    <s v="Mountain Bikes"/>
    <s v="Mountain-200 Black, 42"/>
    <x v="2"/>
    <n v="1252"/>
    <n v="2295"/>
    <n v="2086"/>
    <n v="2504"/>
    <n v="4590"/>
  </r>
  <r>
    <s v="000261721"/>
    <d v="2021-12-10T00:00:00"/>
    <n v="10"/>
    <x v="0"/>
    <x v="0"/>
    <n v="26"/>
    <x v="1"/>
    <x v="1"/>
    <x v="1"/>
    <s v="England"/>
    <s v="Bikes"/>
    <s v="Mountain Bikes"/>
    <s v="Mountain-200 Black, 38"/>
    <x v="1"/>
    <n v="1252"/>
    <n v="2295"/>
    <n v="1043"/>
    <n v="1252"/>
    <n v="2295"/>
  </r>
  <r>
    <s v="000261722"/>
    <d v="2021-12-10T00:00:00"/>
    <n v="10"/>
    <x v="0"/>
    <x v="0"/>
    <n v="34"/>
    <x v="1"/>
    <x v="1"/>
    <x v="0"/>
    <s v="California"/>
    <s v="Bikes"/>
    <s v="Mountain Bikes"/>
    <s v="Mountain-500 Black, 40"/>
    <x v="1"/>
    <n v="295"/>
    <n v="540"/>
    <n v="245"/>
    <n v="295"/>
    <n v="540"/>
  </r>
  <r>
    <s v="000261723"/>
    <d v="2021-12-10T00:00:00"/>
    <n v="10"/>
    <x v="0"/>
    <x v="0"/>
    <n v="34"/>
    <x v="1"/>
    <x v="0"/>
    <x v="0"/>
    <s v="Washington"/>
    <s v="Bikes"/>
    <s v="Mountain Bikes"/>
    <s v="Mountain-100 Silver, 44"/>
    <x v="1"/>
    <n v="1912"/>
    <n v="3400"/>
    <n v="1488"/>
    <n v="1912"/>
    <n v="3400"/>
  </r>
  <r>
    <s v="000261724"/>
    <d v="2021-12-10T00:00:00"/>
    <n v="10"/>
    <x v="0"/>
    <x v="0"/>
    <n v="38"/>
    <x v="0"/>
    <x v="1"/>
    <x v="2"/>
    <s v="New South Wales"/>
    <s v="Bikes"/>
    <s v="Mountain Bikes"/>
    <s v="Mountain-200 Black, 38"/>
    <x v="1"/>
    <n v="1252"/>
    <n v="2295"/>
    <n v="1043"/>
    <n v="1252"/>
    <n v="2295"/>
  </r>
  <r>
    <s v="000261725"/>
    <d v="2021-12-11T00:00:00"/>
    <n v="11"/>
    <x v="0"/>
    <x v="0"/>
    <n v="24"/>
    <x v="2"/>
    <x v="0"/>
    <x v="7"/>
    <s v="Seine (Paris)"/>
    <s v="Bikes"/>
    <s v="Mountain Bikes"/>
    <s v="Mountain-200 Black, 38"/>
    <x v="3"/>
    <n v="1252"/>
    <n v="2295"/>
    <n v="3129"/>
    <n v="3756"/>
    <n v="6885"/>
  </r>
  <r>
    <s v="000261726"/>
    <d v="2021-12-11T00:00:00"/>
    <n v="11"/>
    <x v="0"/>
    <x v="0"/>
    <n v="41"/>
    <x v="0"/>
    <x v="0"/>
    <x v="2"/>
    <s v="New South Wales"/>
    <s v="Bikes"/>
    <s v="Mountain Bikes"/>
    <s v="Mountain-400-W Silver, 38"/>
    <x v="2"/>
    <n v="420"/>
    <n v="769"/>
    <n v="698"/>
    <n v="840"/>
    <n v="1538"/>
  </r>
  <r>
    <s v="000261727"/>
    <d v="2021-12-11T00:00:00"/>
    <n v="11"/>
    <x v="0"/>
    <x v="0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28"/>
    <d v="2021-12-11T00:00:00"/>
    <n v="11"/>
    <x v="0"/>
    <x v="0"/>
    <n v="37"/>
    <x v="0"/>
    <x v="1"/>
    <x v="0"/>
    <s v="California"/>
    <s v="Bikes"/>
    <s v="Mountain Bikes"/>
    <s v="Mountain-400-W Silver, 46"/>
    <x v="1"/>
    <n v="420"/>
    <n v="769"/>
    <n v="349"/>
    <n v="420"/>
    <n v="769"/>
  </r>
  <r>
    <s v="000261729"/>
    <d v="2021-12-11T00:00:00"/>
    <n v="11"/>
    <x v="0"/>
    <x v="0"/>
    <n v="38"/>
    <x v="0"/>
    <x v="0"/>
    <x v="0"/>
    <s v="California"/>
    <s v="Bikes"/>
    <s v="Mountain Bikes"/>
    <s v="Mountain-200 Silver, 38"/>
    <x v="1"/>
    <n v="1266"/>
    <n v="2320"/>
    <n v="1054"/>
    <n v="1266"/>
    <n v="2320"/>
  </r>
  <r>
    <s v="000261730"/>
    <d v="2021-12-12T00:00:00"/>
    <n v="12"/>
    <x v="0"/>
    <x v="0"/>
    <n v="36"/>
    <x v="0"/>
    <x v="0"/>
    <x v="2"/>
    <s v="New South Wales"/>
    <s v="Bikes"/>
    <s v="Mountain Bikes"/>
    <s v="Mountain-200 Silver, 42"/>
    <x v="0"/>
    <n v="1266"/>
    <n v="2320"/>
    <n v="4216"/>
    <n v="5064"/>
    <n v="9280"/>
  </r>
  <r>
    <s v="000261731"/>
    <d v="2021-12-12T00:00:00"/>
    <n v="12"/>
    <x v="0"/>
    <x v="0"/>
    <n v="37"/>
    <x v="0"/>
    <x v="1"/>
    <x v="0"/>
    <s v="California"/>
    <s v="Bikes"/>
    <s v="Mountain Bikes"/>
    <s v="Mountain-400-W Silver, 46"/>
    <x v="0"/>
    <n v="420"/>
    <n v="769"/>
    <n v="1396"/>
    <n v="1680"/>
    <n v="3076"/>
  </r>
  <r>
    <s v="000261732"/>
    <d v="2021-12-12T00:00:00"/>
    <n v="12"/>
    <x v="0"/>
    <x v="0"/>
    <n v="34"/>
    <x v="1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33"/>
    <d v="2021-12-12T00:00:00"/>
    <n v="12"/>
    <x v="0"/>
    <x v="0"/>
    <n v="35"/>
    <x v="0"/>
    <x v="0"/>
    <x v="2"/>
    <s v="Victoria"/>
    <s v="Bikes"/>
    <s v="Mountain Bikes"/>
    <s v="Mountain-200 Silver, 42"/>
    <x v="1"/>
    <n v="1266"/>
    <n v="2320"/>
    <n v="1054"/>
    <n v="1266"/>
    <n v="2320"/>
  </r>
  <r>
    <s v="000261734"/>
    <d v="2021-12-12T00:00:00"/>
    <n v="12"/>
    <x v="0"/>
    <x v="0"/>
    <n v="38"/>
    <x v="0"/>
    <x v="0"/>
    <x v="0"/>
    <s v="Washington"/>
    <s v="Bikes"/>
    <s v="Mountain Bikes"/>
    <s v="Mountain-200 Silver, 42"/>
    <x v="1"/>
    <n v="1266"/>
    <n v="2320"/>
    <n v="1054"/>
    <n v="1266"/>
    <n v="2320"/>
  </r>
  <r>
    <s v="000261735"/>
    <d v="2021-12-13T00:00:00"/>
    <n v="13"/>
    <x v="0"/>
    <x v="0"/>
    <n v="32"/>
    <x v="1"/>
    <x v="0"/>
    <x v="2"/>
    <s v="Queensland"/>
    <s v="Bikes"/>
    <s v="Mountain Bikes"/>
    <s v="Mountain-200 Silver, 42"/>
    <x v="3"/>
    <n v="1266"/>
    <n v="2320"/>
    <n v="3162"/>
    <n v="3798"/>
    <n v="6960"/>
  </r>
  <r>
    <s v="000261736"/>
    <d v="2021-12-13T00:00:00"/>
    <n v="13"/>
    <x v="0"/>
    <x v="0"/>
    <n v="40"/>
    <x v="0"/>
    <x v="0"/>
    <x v="0"/>
    <s v="California"/>
    <s v="Bikes"/>
    <s v="Mountain Bikes"/>
    <s v="Mountain-500 Silver, 40"/>
    <x v="1"/>
    <n v="308"/>
    <n v="565"/>
    <n v="257"/>
    <n v="308"/>
    <n v="565"/>
  </r>
  <r>
    <s v="000261737"/>
    <d v="2021-12-13T00:00:00"/>
    <n v="13"/>
    <x v="0"/>
    <x v="0"/>
    <n v="44"/>
    <x v="0"/>
    <x v="0"/>
    <x v="1"/>
    <s v="England"/>
    <s v="Bikes"/>
    <s v="Mountain Bikes"/>
    <s v="Mountain-200 Black, 38"/>
    <x v="1"/>
    <n v="1252"/>
    <n v="2295"/>
    <n v="1043"/>
    <n v="1252"/>
    <n v="2295"/>
  </r>
  <r>
    <s v="000261738"/>
    <d v="2021-12-13T00:00:00"/>
    <n v="13"/>
    <x v="0"/>
    <x v="0"/>
    <n v="49"/>
    <x v="0"/>
    <x v="1"/>
    <x v="1"/>
    <s v="England"/>
    <s v="Bikes"/>
    <s v="Mountain Bikes"/>
    <s v="Mountain-200 Black, 38"/>
    <x v="1"/>
    <n v="1252"/>
    <n v="2295"/>
    <n v="1043"/>
    <n v="1252"/>
    <n v="2295"/>
  </r>
  <r>
    <s v="000261739"/>
    <d v="2021-12-14T00:00:00"/>
    <n v="14"/>
    <x v="0"/>
    <x v="0"/>
    <n v="30"/>
    <x v="1"/>
    <x v="0"/>
    <x v="0"/>
    <s v="Washington"/>
    <s v="Bikes"/>
    <s v="Mountain Bikes"/>
    <s v="Mountain-200 Silver, 38"/>
    <x v="2"/>
    <n v="1266"/>
    <n v="2320"/>
    <n v="2108"/>
    <n v="2532"/>
    <n v="4640"/>
  </r>
  <r>
    <s v="000261740"/>
    <d v="2021-12-14T00:00:00"/>
    <n v="14"/>
    <x v="0"/>
    <x v="0"/>
    <n v="32"/>
    <x v="1"/>
    <x v="1"/>
    <x v="0"/>
    <s v="California"/>
    <s v="Bikes"/>
    <s v="Mountain Bikes"/>
    <s v="Mountain-200 Black, 46"/>
    <x v="1"/>
    <n v="1252"/>
    <n v="2295"/>
    <n v="1043"/>
    <n v="1252"/>
    <n v="2295"/>
  </r>
  <r>
    <s v="000261741"/>
    <d v="2021-12-14T00:00:00"/>
    <n v="14"/>
    <x v="0"/>
    <x v="0"/>
    <n v="32"/>
    <x v="1"/>
    <x v="0"/>
    <x v="2"/>
    <s v="Victoria"/>
    <s v="Bikes"/>
    <s v="Mountain Bikes"/>
    <s v="Mountain-400-W Silver, 46"/>
    <x v="1"/>
    <n v="420"/>
    <n v="769"/>
    <n v="349"/>
    <n v="420"/>
    <n v="769"/>
  </r>
  <r>
    <s v="000261742"/>
    <d v="2021-12-15T00:00:00"/>
    <n v="15"/>
    <x v="0"/>
    <x v="0"/>
    <n v="29"/>
    <x v="1"/>
    <x v="0"/>
    <x v="0"/>
    <s v="California"/>
    <s v="Bikes"/>
    <s v="Mountain Bikes"/>
    <s v="Mountain-200 Silver, 42"/>
    <x v="1"/>
    <n v="1266"/>
    <n v="2320"/>
    <n v="1054"/>
    <n v="1266"/>
    <n v="2320"/>
  </r>
  <r>
    <s v="000261743"/>
    <d v="2021-12-16T00:00:00"/>
    <n v="16"/>
    <x v="0"/>
    <x v="0"/>
    <n v="33"/>
    <x v="1"/>
    <x v="0"/>
    <x v="2"/>
    <s v="New South Wales"/>
    <s v="Bikes"/>
    <s v="Mountain Bikes"/>
    <s v="Mountain-200 Black, 38"/>
    <x v="2"/>
    <n v="1252"/>
    <n v="2295"/>
    <n v="2086"/>
    <n v="2504"/>
    <n v="4590"/>
  </r>
  <r>
    <s v="000261744"/>
    <d v="2021-12-16T00:00:00"/>
    <n v="16"/>
    <x v="0"/>
    <x v="0"/>
    <n v="38"/>
    <x v="0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45"/>
    <d v="2021-12-16T00:00:00"/>
    <n v="16"/>
    <x v="0"/>
    <x v="0"/>
    <n v="27"/>
    <x v="1"/>
    <x v="0"/>
    <x v="7"/>
    <s v="Seine et Marne"/>
    <s v="Bikes"/>
    <s v="Mountain Bikes"/>
    <s v="Mountain-200 Silver, 46"/>
    <x v="1"/>
    <n v="1266"/>
    <n v="2320"/>
    <n v="1054"/>
    <n v="1266"/>
    <n v="2320"/>
  </r>
  <r>
    <s v="000261746"/>
    <d v="2021-12-17T00:00:00"/>
    <n v="17"/>
    <x v="0"/>
    <x v="0"/>
    <n v="37"/>
    <x v="0"/>
    <x v="0"/>
    <x v="0"/>
    <s v="Washington"/>
    <s v="Bikes"/>
    <s v="Mountain Bikes"/>
    <s v="Mountain-200 Silver, 38"/>
    <x v="2"/>
    <n v="1266"/>
    <n v="2320"/>
    <n v="2108"/>
    <n v="2532"/>
    <n v="4640"/>
  </r>
  <r>
    <s v="000261747"/>
    <d v="2021-12-17T00:00:00"/>
    <n v="17"/>
    <x v="0"/>
    <x v="0"/>
    <n v="31"/>
    <x v="1"/>
    <x v="1"/>
    <x v="2"/>
    <s v="New South Wales"/>
    <s v="Bikes"/>
    <s v="Mountain Bikes"/>
    <s v="Mountain-400-W Silver, 42"/>
    <x v="1"/>
    <n v="420"/>
    <n v="769"/>
    <n v="349"/>
    <n v="420"/>
    <n v="769"/>
  </r>
  <r>
    <s v="000261748"/>
    <d v="2021-12-17T00:00:00"/>
    <n v="17"/>
    <x v="0"/>
    <x v="0"/>
    <n v="42"/>
    <x v="0"/>
    <x v="0"/>
    <x v="5"/>
    <s v="Nordrhein-Westfalen"/>
    <s v="Bikes"/>
    <s v="Mountain Bikes"/>
    <s v="Mountain-200 Silver, 46"/>
    <x v="1"/>
    <n v="1266"/>
    <n v="2320"/>
    <n v="1054"/>
    <n v="1266"/>
    <n v="2320"/>
  </r>
  <r>
    <s v="000261749"/>
    <d v="2021-12-18T00:00:00"/>
    <n v="18"/>
    <x v="0"/>
    <x v="0"/>
    <n v="35"/>
    <x v="0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50"/>
    <d v="2021-12-18T00:00:00"/>
    <n v="18"/>
    <x v="0"/>
    <x v="0"/>
    <n v="38"/>
    <x v="0"/>
    <x v="0"/>
    <x v="5"/>
    <s v="Nordrhein-Westfalen"/>
    <s v="Bikes"/>
    <s v="Mountain Bikes"/>
    <s v="Mountain-200 Silver, 46"/>
    <x v="0"/>
    <n v="1266"/>
    <n v="2320"/>
    <n v="4216"/>
    <n v="5064"/>
    <n v="9280"/>
  </r>
  <r>
    <s v="000261751"/>
    <d v="2021-12-18T00:00:00"/>
    <n v="18"/>
    <x v="0"/>
    <x v="0"/>
    <n v="24"/>
    <x v="2"/>
    <x v="0"/>
    <x v="7"/>
    <s v="Seine Saint Denis"/>
    <s v="Bikes"/>
    <s v="Mountain Bikes"/>
    <s v="Mountain-200 Silver, 38"/>
    <x v="3"/>
    <n v="1266"/>
    <n v="2320"/>
    <n v="3162"/>
    <n v="3798"/>
    <n v="6960"/>
  </r>
  <r>
    <s v="000261752"/>
    <d v="2021-12-18T00:00:00"/>
    <n v="18"/>
    <x v="0"/>
    <x v="0"/>
    <n v="26"/>
    <x v="1"/>
    <x v="0"/>
    <x v="1"/>
    <s v="England"/>
    <s v="Bikes"/>
    <s v="Mountain Bikes"/>
    <s v="Mountain-400-W Silver, 42"/>
    <x v="3"/>
    <n v="420"/>
    <n v="769"/>
    <n v="1047"/>
    <n v="1260"/>
    <n v="2307"/>
  </r>
  <r>
    <s v="000261753"/>
    <d v="2021-12-18T00:00:00"/>
    <n v="18"/>
    <x v="0"/>
    <x v="0"/>
    <n v="39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54"/>
    <d v="2021-12-18T00:00:00"/>
    <n v="18"/>
    <x v="0"/>
    <x v="0"/>
    <n v="26"/>
    <x v="1"/>
    <x v="1"/>
    <x v="7"/>
    <s v="Seine (Paris)"/>
    <s v="Bikes"/>
    <s v="Mountain Bikes"/>
    <s v="Mountain-200 Black, 46"/>
    <x v="1"/>
    <n v="1252"/>
    <n v="2295"/>
    <n v="1043"/>
    <n v="1252"/>
    <n v="2295"/>
  </r>
  <r>
    <s v="000261755"/>
    <d v="2021-12-18T00:00:00"/>
    <n v="18"/>
    <x v="0"/>
    <x v="0"/>
    <n v="36"/>
    <x v="0"/>
    <x v="1"/>
    <x v="0"/>
    <s v="Washington"/>
    <s v="Bikes"/>
    <s v="Mountain Bikes"/>
    <s v="Mountain-200 Silver, 38"/>
    <x v="1"/>
    <n v="1266"/>
    <n v="2320"/>
    <n v="1054"/>
    <n v="1266"/>
    <n v="2320"/>
  </r>
  <r>
    <s v="000261756"/>
    <d v="2021-12-19T00:00:00"/>
    <n v="19"/>
    <x v="0"/>
    <x v="0"/>
    <n v="17"/>
    <x v="2"/>
    <x v="1"/>
    <x v="7"/>
    <s v="Nord"/>
    <s v="Bikes"/>
    <s v="Mountain Bikes"/>
    <s v="Mountain-200 Silver, 46"/>
    <x v="0"/>
    <n v="1266"/>
    <n v="2320"/>
    <n v="4216"/>
    <n v="5064"/>
    <n v="9280"/>
  </r>
  <r>
    <s v="000261757"/>
    <d v="2021-12-19T00:00:00"/>
    <n v="19"/>
    <x v="0"/>
    <x v="0"/>
    <n v="19"/>
    <x v="2"/>
    <x v="0"/>
    <x v="2"/>
    <s v="Victoria"/>
    <s v="Bikes"/>
    <s v="Mountain Bikes"/>
    <s v="Mountain-500 Black, 44"/>
    <x v="0"/>
    <n v="295"/>
    <n v="540"/>
    <n v="980"/>
    <n v="1180"/>
    <n v="2160"/>
  </r>
  <r>
    <s v="000261758"/>
    <d v="2021-12-19T00:00:00"/>
    <n v="19"/>
    <x v="0"/>
    <x v="0"/>
    <n v="25"/>
    <x v="1"/>
    <x v="1"/>
    <x v="7"/>
    <s v="Seine (Paris)"/>
    <s v="Bikes"/>
    <s v="Mountain Bikes"/>
    <s v="Mountain-200 Black, 38"/>
    <x v="0"/>
    <n v="1252"/>
    <n v="2295"/>
    <n v="4172"/>
    <n v="5008"/>
    <n v="9180"/>
  </r>
  <r>
    <s v="000261759"/>
    <d v="2021-12-19T00:00:00"/>
    <n v="19"/>
    <x v="0"/>
    <x v="0"/>
    <n v="35"/>
    <x v="0"/>
    <x v="0"/>
    <x v="0"/>
    <s v="Oregon"/>
    <s v="Bikes"/>
    <s v="Mountain Bikes"/>
    <s v="Mountain-100 Black, 48"/>
    <x v="0"/>
    <n v="1898"/>
    <n v="3375"/>
    <n v="5908"/>
    <n v="7592"/>
    <n v="13500"/>
  </r>
  <r>
    <s v="000261760"/>
    <d v="2021-12-19T00:00:00"/>
    <n v="19"/>
    <x v="0"/>
    <x v="0"/>
    <n v="37"/>
    <x v="0"/>
    <x v="1"/>
    <x v="0"/>
    <s v="Oregon"/>
    <s v="Bikes"/>
    <s v="Mountain Bikes"/>
    <s v="Mountain-200 Black, 38"/>
    <x v="0"/>
    <n v="1252"/>
    <n v="2295"/>
    <n v="4172"/>
    <n v="5008"/>
    <n v="9180"/>
  </r>
  <r>
    <s v="000261761"/>
    <d v="2021-12-19T00:00:00"/>
    <n v="19"/>
    <x v="0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62"/>
    <d v="2021-12-19T00:00:00"/>
    <n v="19"/>
    <x v="0"/>
    <x v="0"/>
    <n v="63"/>
    <x v="0"/>
    <x v="0"/>
    <x v="2"/>
    <s v="Queensland"/>
    <s v="Bikes"/>
    <s v="Mountain Bikes"/>
    <s v="Mountain-200 Black, 46"/>
    <x v="0"/>
    <n v="1252"/>
    <n v="2295"/>
    <n v="4172"/>
    <n v="5008"/>
    <n v="9180"/>
  </r>
  <r>
    <s v="000261763"/>
    <d v="2021-12-19T00:00:00"/>
    <n v="19"/>
    <x v="0"/>
    <x v="0"/>
    <n v="18"/>
    <x v="2"/>
    <x v="1"/>
    <x v="2"/>
    <s v="South Australia"/>
    <s v="Bikes"/>
    <s v="Mountain Bikes"/>
    <s v="Mountain-500 Black, 40"/>
    <x v="2"/>
    <n v="295"/>
    <n v="540"/>
    <n v="490"/>
    <n v="590"/>
    <n v="1080"/>
  </r>
  <r>
    <s v="000261764"/>
    <d v="2021-12-19T00:00:00"/>
    <n v="19"/>
    <x v="0"/>
    <x v="0"/>
    <n v="56"/>
    <x v="0"/>
    <x v="0"/>
    <x v="5"/>
    <s v="Hessen"/>
    <s v="Bikes"/>
    <s v="Mountain Bikes"/>
    <s v="Mountain-200 Black, 46"/>
    <x v="2"/>
    <n v="1252"/>
    <n v="2295"/>
    <n v="2086"/>
    <n v="2504"/>
    <n v="4590"/>
  </r>
  <r>
    <s v="000261765"/>
    <d v="2021-12-19T00:00:00"/>
    <n v="19"/>
    <x v="0"/>
    <x v="0"/>
    <n v="39"/>
    <x v="0"/>
    <x v="0"/>
    <x v="0"/>
    <s v="Washington"/>
    <s v="Bikes"/>
    <s v="Mountain Bikes"/>
    <s v="Mountain-200 Silver, 38"/>
    <x v="1"/>
    <n v="1266"/>
    <n v="2320"/>
    <n v="1054"/>
    <n v="1266"/>
    <n v="2320"/>
  </r>
  <r>
    <s v="000261766"/>
    <d v="2021-12-20T00:00:00"/>
    <n v="20"/>
    <x v="0"/>
    <x v="0"/>
    <n v="33"/>
    <x v="1"/>
    <x v="0"/>
    <x v="2"/>
    <s v="Victoria"/>
    <s v="Bikes"/>
    <s v="Mountain Bikes"/>
    <s v="Mountain-100 Black, 38"/>
    <x v="0"/>
    <n v="1898"/>
    <n v="3375"/>
    <n v="5908"/>
    <n v="7592"/>
    <n v="13500"/>
  </r>
  <r>
    <s v="000261767"/>
    <d v="2021-12-20T00:00:00"/>
    <n v="20"/>
    <x v="0"/>
    <x v="0"/>
    <n v="57"/>
    <x v="0"/>
    <x v="1"/>
    <x v="2"/>
    <s v="Queensland"/>
    <s v="Bikes"/>
    <s v="Mountain Bikes"/>
    <s v="Mountain-200 Black, 46"/>
    <x v="0"/>
    <n v="1252"/>
    <n v="2295"/>
    <n v="4172"/>
    <n v="5008"/>
    <n v="9180"/>
  </r>
  <r>
    <s v="000261768"/>
    <d v="2021-12-20T00:00:00"/>
    <n v="20"/>
    <x v="0"/>
    <x v="0"/>
    <n v="29"/>
    <x v="1"/>
    <x v="1"/>
    <x v="6"/>
    <s v="British Columbia"/>
    <s v="Bikes"/>
    <s v="Mountain Bikes"/>
    <s v="Mountain-500 Black, 52"/>
    <x v="3"/>
    <n v="295"/>
    <n v="540"/>
    <n v="735"/>
    <n v="885"/>
    <n v="1620"/>
  </r>
  <r>
    <s v="000261769"/>
    <d v="2021-12-20T00:00:00"/>
    <n v="20"/>
    <x v="0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70"/>
    <d v="2021-12-20T00:00:00"/>
    <n v="20"/>
    <x v="0"/>
    <x v="0"/>
    <n v="35"/>
    <x v="0"/>
    <x v="1"/>
    <x v="2"/>
    <s v="Victoria"/>
    <s v="Bikes"/>
    <s v="Mountain Bikes"/>
    <s v="Mountain-200 Silver, 38"/>
    <x v="1"/>
    <n v="1266"/>
    <n v="2320"/>
    <n v="1054"/>
    <n v="1266"/>
    <n v="2320"/>
  </r>
  <r>
    <s v="000261771"/>
    <d v="2021-12-21T00:00:00"/>
    <n v="21"/>
    <x v="0"/>
    <x v="0"/>
    <n v="26"/>
    <x v="1"/>
    <x v="1"/>
    <x v="7"/>
    <s v="Somme"/>
    <s v="Bikes"/>
    <s v="Mountain Bikes"/>
    <s v="Mountain-200 Silver, 38"/>
    <x v="3"/>
    <n v="1266"/>
    <n v="2320"/>
    <n v="3162"/>
    <n v="3798"/>
    <n v="6960"/>
  </r>
  <r>
    <s v="000261772"/>
    <d v="2021-12-21T00:00:00"/>
    <n v="21"/>
    <x v="0"/>
    <x v="0"/>
    <n v="23"/>
    <x v="2"/>
    <x v="1"/>
    <x v="1"/>
    <s v="England"/>
    <s v="Bikes"/>
    <s v="Mountain Bikes"/>
    <s v="Mountain-400-W Silver, 46"/>
    <x v="2"/>
    <n v="420"/>
    <n v="769"/>
    <n v="698"/>
    <n v="840"/>
    <n v="1538"/>
  </r>
  <r>
    <s v="000261773"/>
    <d v="2021-12-22T00:00:00"/>
    <n v="22"/>
    <x v="0"/>
    <x v="0"/>
    <n v="30"/>
    <x v="1"/>
    <x v="0"/>
    <x v="0"/>
    <s v="Washington"/>
    <s v="Bikes"/>
    <s v="Mountain Bikes"/>
    <s v="Mountain-200 Silver, 38"/>
    <x v="3"/>
    <n v="1266"/>
    <n v="2320"/>
    <n v="3162"/>
    <n v="3798"/>
    <n v="6960"/>
  </r>
  <r>
    <s v="000261774"/>
    <d v="2021-12-22T00:00:00"/>
    <n v="22"/>
    <x v="0"/>
    <x v="0"/>
    <n v="41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75"/>
    <d v="2021-12-22T00:00:00"/>
    <n v="22"/>
    <x v="0"/>
    <x v="0"/>
    <n v="19"/>
    <x v="2"/>
    <x v="0"/>
    <x v="2"/>
    <s v="New South Wales"/>
    <s v="Bikes"/>
    <s v="Mountain Bikes"/>
    <s v="Mountain-500 Silver, 42"/>
    <x v="1"/>
    <n v="308"/>
    <n v="565"/>
    <n v="257"/>
    <n v="308"/>
    <n v="565"/>
  </r>
  <r>
    <s v="000261776"/>
    <d v="2021-12-22T00:00:00"/>
    <n v="22"/>
    <x v="0"/>
    <x v="0"/>
    <n v="25"/>
    <x v="1"/>
    <x v="1"/>
    <x v="7"/>
    <s v="Seine (Paris)"/>
    <s v="Bikes"/>
    <s v="Mountain Bikes"/>
    <s v="Mountain-200 Black, 38"/>
    <x v="1"/>
    <n v="1252"/>
    <n v="2295"/>
    <n v="1043"/>
    <n v="1252"/>
    <n v="2295"/>
  </r>
  <r>
    <s v="000261777"/>
    <d v="2021-12-22T00:00:00"/>
    <n v="22"/>
    <x v="0"/>
    <x v="0"/>
    <n v="27"/>
    <x v="1"/>
    <x v="0"/>
    <x v="6"/>
    <s v="British Columbia"/>
    <s v="Bikes"/>
    <s v="Mountain Bikes"/>
    <s v="Mountain-200 Black, 46"/>
    <x v="1"/>
    <n v="1252"/>
    <n v="2295"/>
    <n v="1043"/>
    <n v="1252"/>
    <n v="2295"/>
  </r>
  <r>
    <s v="000261778"/>
    <d v="2021-12-22T00:00:00"/>
    <n v="22"/>
    <x v="0"/>
    <x v="0"/>
    <n v="41"/>
    <x v="0"/>
    <x v="1"/>
    <x v="5"/>
    <s v="Hessen"/>
    <s v="Bikes"/>
    <s v="Mountain Bikes"/>
    <s v="Mountain-200 Silver, 38"/>
    <x v="1"/>
    <n v="1266"/>
    <n v="2320"/>
    <n v="1054"/>
    <n v="1266"/>
    <n v="2320"/>
  </r>
  <r>
    <s v="000261779"/>
    <d v="2021-12-23T00:00:00"/>
    <n v="23"/>
    <x v="0"/>
    <x v="0"/>
    <n v="30"/>
    <x v="1"/>
    <x v="0"/>
    <x v="0"/>
    <s v="Oregon"/>
    <s v="Bikes"/>
    <s v="Mountain Bikes"/>
    <s v="Mountain-200 Silver, 42"/>
    <x v="1"/>
    <n v="1266"/>
    <n v="2320"/>
    <n v="1054"/>
    <n v="1266"/>
    <n v="2320"/>
  </r>
  <r>
    <s v="000261780"/>
    <d v="2021-12-23T00:00:00"/>
    <n v="23"/>
    <x v="0"/>
    <x v="0"/>
    <n v="31"/>
    <x v="1"/>
    <x v="0"/>
    <x v="6"/>
    <s v="British Columbia"/>
    <s v="Bikes"/>
    <s v="Mountain Bikes"/>
    <s v="Mountain-200 Black, 42"/>
    <x v="1"/>
    <n v="1252"/>
    <n v="2295"/>
    <n v="1043"/>
    <n v="1252"/>
    <n v="2295"/>
  </r>
  <r>
    <s v="000261781"/>
    <d v="2021-12-23T00:00:00"/>
    <n v="23"/>
    <x v="0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82"/>
    <d v="2021-12-24T00:00:00"/>
    <n v="24"/>
    <x v="0"/>
    <x v="0"/>
    <n v="38"/>
    <x v="0"/>
    <x v="1"/>
    <x v="2"/>
    <s v="Queensland"/>
    <s v="Bikes"/>
    <s v="Mountain Bikes"/>
    <s v="Mountain-200 Black, 42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61EC3-42A9-4244-92F0-4F61935B7784}" name="PivotTable1" cacheId="1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3">
  <location ref="A4:J14" firstHeaderRow="1" firstDataRow="2" firstDataCol="1"/>
  <pivotFields count="19">
    <pivotField showAll="0"/>
    <pivotField numFmtId="14"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>
      <items count="5">
        <item x="1"/>
        <item x="2"/>
        <item x="3"/>
        <item x="0"/>
        <item t="default"/>
      </items>
    </pivotField>
    <pivotField numFmtId="8" showAll="0"/>
    <pivotField numFmtId="8" showAll="0"/>
    <pivotField numFmtId="8" showAll="0"/>
    <pivotField numFmtId="8" showAll="0"/>
    <pivotField numFmtId="8" showAll="0"/>
  </pivotFields>
  <rowFields count="2">
    <field x="7"/>
    <field x="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C6FD4-1164-724F-95FA-2205ABC27AD5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numFmtId="8" showAll="0"/>
    <pivotField numFmtId="8" showAll="0"/>
    <pivotField dataField="1" numFmtId="8" showAll="0"/>
    <pivotField numFmtId="8" showAll="0"/>
    <pivotField numFmtId="8" showAll="0"/>
  </pivotFields>
  <rowFields count="3">
    <field x="7"/>
    <field x="6"/>
    <field x="8"/>
  </rowFields>
  <rowItems count="35">
    <i>
      <x/>
    </i>
    <i r="1">
      <x/>
    </i>
    <i r="2">
      <x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5"/>
    </i>
    <i r="2">
      <x v="6"/>
    </i>
    <i r="1">
      <x v="2"/>
    </i>
    <i r="2">
      <x/>
    </i>
    <i r="2">
      <x v="2"/>
    </i>
    <i r="2">
      <x v="5"/>
    </i>
    <i>
      <x v="1"/>
    </i>
    <i r="1">
      <x/>
    </i>
    <i r="2">
      <x/>
    </i>
    <i r="2">
      <x v="3"/>
    </i>
    <i r="2">
      <x v="5"/>
    </i>
    <i r="2">
      <x v="6"/>
    </i>
    <i r="2">
      <x v="7"/>
    </i>
    <i r="1">
      <x v="1"/>
    </i>
    <i r="2">
      <x/>
    </i>
    <i r="2">
      <x v="1"/>
    </i>
    <i r="2">
      <x v="2"/>
    </i>
    <i r="2">
      <x v="5"/>
    </i>
    <i r="2">
      <x v="6"/>
    </i>
    <i r="1">
      <x v="2"/>
    </i>
    <i r="2">
      <x/>
    </i>
    <i r="2">
      <x v="2"/>
    </i>
    <i r="2">
      <x v="5"/>
    </i>
    <i t="grand">
      <x/>
    </i>
  </rowItems>
  <colItems count="1">
    <i/>
  </colItems>
  <dataFields count="1">
    <dataField name="Sum of  Profit " fld="16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9ABE-B932-104F-8B9A-DD0B61D5948F}">
  <dimension ref="A4:J14"/>
  <sheetViews>
    <sheetView zoomScale="89" workbookViewId="0">
      <selection activeCell="I18" sqref="I18"/>
    </sheetView>
  </sheetViews>
  <sheetFormatPr baseColWidth="10" defaultRowHeight="15" x14ac:dyDescent="0.2"/>
  <cols>
    <col min="1" max="1" width="20.6640625" bestFit="1" customWidth="1"/>
    <col min="2" max="2" width="14.83203125" bestFit="1" customWidth="1"/>
    <col min="3" max="3" width="6.83203125" bestFit="1" customWidth="1"/>
    <col min="4" max="4" width="6.5" bestFit="1" customWidth="1"/>
    <col min="5" max="5" width="8.33203125" bestFit="1" customWidth="1"/>
    <col min="6" max="6" width="11.83203125" bestFit="1" customWidth="1"/>
    <col min="7" max="7" width="13.6640625" bestFit="1" customWidth="1"/>
    <col min="8" max="8" width="11.5" bestFit="1" customWidth="1"/>
    <col min="9" max="9" width="11.83203125" bestFit="1" customWidth="1"/>
    <col min="10" max="10" width="10.1640625" bestFit="1" customWidth="1"/>
    <col min="11" max="11" width="22.5" bestFit="1" customWidth="1"/>
    <col min="12" max="12" width="19.33203125" bestFit="1" customWidth="1"/>
    <col min="13" max="13" width="22.5" bestFit="1" customWidth="1"/>
    <col min="14" max="14" width="19.33203125" bestFit="1" customWidth="1"/>
    <col min="15" max="15" width="22.5" bestFit="1" customWidth="1"/>
    <col min="16" max="16" width="19.33203125" bestFit="1" customWidth="1"/>
    <col min="17" max="17" width="22.5" bestFit="1" customWidth="1"/>
    <col min="18" max="18" width="23.5" bestFit="1" customWidth="1"/>
    <col min="19" max="19" width="26.83203125" bestFit="1" customWidth="1"/>
    <col min="20" max="20" width="3.1640625" bestFit="1" customWidth="1"/>
    <col min="21" max="21" width="15.6640625" bestFit="1" customWidth="1"/>
    <col min="22" max="22" width="13.83203125" bestFit="1" customWidth="1"/>
    <col min="23" max="23" width="16.1640625" bestFit="1" customWidth="1"/>
    <col min="24" max="24" width="10.1640625" bestFit="1" customWidth="1"/>
    <col min="25" max="25" width="10" bestFit="1" customWidth="1"/>
    <col min="26" max="26" width="17.33203125" bestFit="1" customWidth="1"/>
    <col min="27" max="27" width="9.33203125" bestFit="1" customWidth="1"/>
    <col min="28" max="28" width="15.6640625" bestFit="1" customWidth="1"/>
    <col min="29" max="29" width="13.83203125" bestFit="1" customWidth="1"/>
    <col min="30" max="30" width="9.33203125" bestFit="1" customWidth="1"/>
    <col min="31" max="31" width="16" bestFit="1" customWidth="1"/>
    <col min="32" max="33" width="10" bestFit="1" customWidth="1"/>
    <col min="34" max="35" width="8.6640625" bestFit="1" customWidth="1"/>
    <col min="36" max="36" width="9.33203125" bestFit="1" customWidth="1"/>
    <col min="38" max="40" width="8.33203125" bestFit="1" customWidth="1"/>
    <col min="41" max="41" width="9.33203125" bestFit="1" customWidth="1"/>
    <col min="42" max="42" width="10.5" bestFit="1" customWidth="1"/>
    <col min="43" max="44" width="15.6640625" bestFit="1" customWidth="1"/>
    <col min="45" max="45" width="9.33203125" bestFit="1" customWidth="1"/>
    <col min="46" max="46" width="18" bestFit="1" customWidth="1"/>
    <col min="47" max="50" width="13.5" bestFit="1" customWidth="1"/>
    <col min="51" max="51" width="9.33203125" bestFit="1" customWidth="1"/>
    <col min="52" max="52" width="15.6640625" bestFit="1" customWidth="1"/>
    <col min="53" max="53" width="21.6640625" bestFit="1" customWidth="1"/>
    <col min="54" max="56" width="12" bestFit="1" customWidth="1"/>
    <col min="57" max="57" width="9.33203125" bestFit="1" customWidth="1"/>
    <col min="58" max="58" width="12.1640625" bestFit="1" customWidth="1"/>
    <col min="59" max="60" width="8.33203125" bestFit="1" customWidth="1"/>
    <col min="61" max="61" width="9.33203125" bestFit="1" customWidth="1"/>
    <col min="62" max="62" width="10.5" bestFit="1" customWidth="1"/>
    <col min="63" max="65" width="15.6640625" bestFit="1" customWidth="1"/>
    <col min="66" max="66" width="9.33203125" bestFit="1" customWidth="1"/>
    <col min="67" max="67" width="18" bestFit="1" customWidth="1"/>
    <col min="68" max="68" width="14.1640625" bestFit="1" customWidth="1"/>
    <col min="69" max="69" width="10" bestFit="1" customWidth="1"/>
  </cols>
  <sheetData>
    <row r="4" spans="1:10" x14ac:dyDescent="0.2">
      <c r="A4" s="10" t="s">
        <v>160</v>
      </c>
      <c r="B4" s="10" t="s">
        <v>161</v>
      </c>
    </row>
    <row r="5" spans="1:10" x14ac:dyDescent="0.2">
      <c r="A5" s="10" t="s">
        <v>158</v>
      </c>
      <c r="B5" t="s">
        <v>36</v>
      </c>
      <c r="C5" t="s">
        <v>58</v>
      </c>
      <c r="D5" t="s">
        <v>87</v>
      </c>
      <c r="E5" t="s">
        <v>50</v>
      </c>
      <c r="F5" t="s">
        <v>40</v>
      </c>
      <c r="G5" t="s">
        <v>29</v>
      </c>
      <c r="H5" t="s">
        <v>23</v>
      </c>
      <c r="I5" t="s">
        <v>45</v>
      </c>
      <c r="J5" t="s">
        <v>159</v>
      </c>
    </row>
    <row r="6" spans="1:10" x14ac:dyDescent="0.2">
      <c r="A6" s="8" t="s">
        <v>22</v>
      </c>
      <c r="B6" s="9">
        <v>43</v>
      </c>
      <c r="C6" s="9">
        <v>6</v>
      </c>
      <c r="D6" s="9">
        <v>7</v>
      </c>
      <c r="E6" s="9">
        <v>8</v>
      </c>
      <c r="F6" s="9">
        <v>2</v>
      </c>
      <c r="G6" s="9">
        <v>5</v>
      </c>
      <c r="H6" s="9">
        <v>37</v>
      </c>
      <c r="I6" s="9">
        <v>0</v>
      </c>
      <c r="J6" s="9">
        <v>108</v>
      </c>
    </row>
    <row r="7" spans="1:10" x14ac:dyDescent="0.2">
      <c r="A7" s="11" t="s">
        <v>42</v>
      </c>
      <c r="B7" s="9">
        <v>9</v>
      </c>
      <c r="C7" s="9">
        <v>0</v>
      </c>
      <c r="D7" s="9">
        <v>6</v>
      </c>
      <c r="E7" s="9">
        <v>0</v>
      </c>
      <c r="F7" s="9">
        <v>0</v>
      </c>
      <c r="G7" s="9">
        <v>1</v>
      </c>
      <c r="H7" s="9">
        <v>0</v>
      </c>
      <c r="I7" s="9">
        <v>0</v>
      </c>
      <c r="J7" s="9">
        <v>16</v>
      </c>
    </row>
    <row r="8" spans="1:10" x14ac:dyDescent="0.2">
      <c r="A8" s="11" t="s">
        <v>35</v>
      </c>
      <c r="B8" s="9">
        <v>17</v>
      </c>
      <c r="C8" s="9">
        <v>6</v>
      </c>
      <c r="D8" s="9">
        <v>1</v>
      </c>
      <c r="E8" s="9">
        <v>0</v>
      </c>
      <c r="F8" s="9">
        <v>0</v>
      </c>
      <c r="G8" s="9">
        <v>3</v>
      </c>
      <c r="H8" s="9">
        <v>10</v>
      </c>
      <c r="I8" s="9">
        <v>0</v>
      </c>
      <c r="J8" s="9">
        <v>37</v>
      </c>
    </row>
    <row r="9" spans="1:10" x14ac:dyDescent="0.2">
      <c r="A9" s="11" t="s">
        <v>21</v>
      </c>
      <c r="B9" s="9">
        <v>17</v>
      </c>
      <c r="C9" s="9">
        <v>0</v>
      </c>
      <c r="D9" s="9">
        <v>0</v>
      </c>
      <c r="E9" s="9">
        <v>8</v>
      </c>
      <c r="F9" s="9">
        <v>2</v>
      </c>
      <c r="G9" s="9">
        <v>1</v>
      </c>
      <c r="H9" s="9">
        <v>27</v>
      </c>
      <c r="I9" s="9">
        <v>0</v>
      </c>
      <c r="J9" s="9">
        <v>55</v>
      </c>
    </row>
    <row r="10" spans="1:10" x14ac:dyDescent="0.2">
      <c r="A10" s="8" t="s">
        <v>28</v>
      </c>
      <c r="B10" s="9">
        <v>20</v>
      </c>
      <c r="C10" s="9">
        <v>5</v>
      </c>
      <c r="D10" s="9">
        <v>13</v>
      </c>
      <c r="E10" s="9">
        <v>5</v>
      </c>
      <c r="F10" s="9">
        <v>0</v>
      </c>
      <c r="G10" s="9">
        <v>9</v>
      </c>
      <c r="H10" s="9">
        <v>26</v>
      </c>
      <c r="I10" s="9">
        <v>1</v>
      </c>
      <c r="J10" s="9">
        <v>79</v>
      </c>
    </row>
    <row r="11" spans="1:10" x14ac:dyDescent="0.2">
      <c r="A11" s="11" t="s">
        <v>42</v>
      </c>
      <c r="B11" s="9">
        <v>2</v>
      </c>
      <c r="C11" s="9">
        <v>0</v>
      </c>
      <c r="D11" s="9">
        <v>4</v>
      </c>
      <c r="E11" s="9">
        <v>0</v>
      </c>
      <c r="F11" s="9">
        <v>0</v>
      </c>
      <c r="G11" s="9">
        <v>5</v>
      </c>
      <c r="H11" s="9">
        <v>0</v>
      </c>
      <c r="I11" s="9">
        <v>0</v>
      </c>
      <c r="J11" s="9">
        <v>11</v>
      </c>
    </row>
    <row r="12" spans="1:10" x14ac:dyDescent="0.2">
      <c r="A12" s="11" t="s">
        <v>35</v>
      </c>
      <c r="B12" s="9">
        <v>3</v>
      </c>
      <c r="C12" s="9">
        <v>5</v>
      </c>
      <c r="D12" s="9">
        <v>9</v>
      </c>
      <c r="E12" s="9">
        <v>0</v>
      </c>
      <c r="F12" s="9">
        <v>0</v>
      </c>
      <c r="G12" s="9">
        <v>1</v>
      </c>
      <c r="H12" s="9">
        <v>6</v>
      </c>
      <c r="I12" s="9">
        <v>0</v>
      </c>
      <c r="J12" s="9">
        <v>24</v>
      </c>
    </row>
    <row r="13" spans="1:10" x14ac:dyDescent="0.2">
      <c r="A13" s="11" t="s">
        <v>21</v>
      </c>
      <c r="B13" s="9">
        <v>15</v>
      </c>
      <c r="C13" s="9">
        <v>0</v>
      </c>
      <c r="D13" s="9">
        <v>0</v>
      </c>
      <c r="E13" s="9">
        <v>5</v>
      </c>
      <c r="F13" s="9">
        <v>0</v>
      </c>
      <c r="G13" s="9">
        <v>3</v>
      </c>
      <c r="H13" s="9">
        <v>20</v>
      </c>
      <c r="I13" s="9">
        <v>1</v>
      </c>
      <c r="J13" s="9">
        <v>44</v>
      </c>
    </row>
    <row r="14" spans="1:10" x14ac:dyDescent="0.2">
      <c r="A14" s="8" t="s">
        <v>159</v>
      </c>
      <c r="B14" s="9">
        <v>63</v>
      </c>
      <c r="C14" s="9">
        <v>11</v>
      </c>
      <c r="D14" s="9">
        <v>20</v>
      </c>
      <c r="E14" s="9">
        <v>13</v>
      </c>
      <c r="F14" s="9">
        <v>2</v>
      </c>
      <c r="G14" s="9">
        <v>14</v>
      </c>
      <c r="H14" s="9">
        <v>63</v>
      </c>
      <c r="I14" s="9">
        <v>1</v>
      </c>
      <c r="J14" s="9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2679-1097-FD4E-A08F-B5408ABBF13A}">
  <dimension ref="A3:B38"/>
  <sheetViews>
    <sheetView tabSelected="1" workbookViewId="0">
      <selection activeCell="C12" sqref="C12"/>
    </sheetView>
  </sheetViews>
  <sheetFormatPr baseColWidth="10" defaultRowHeight="15" x14ac:dyDescent="0.2"/>
  <cols>
    <col min="1" max="1" width="21" bestFit="1" customWidth="1"/>
    <col min="2" max="2" width="11.6640625" bestFit="1" customWidth="1"/>
  </cols>
  <sheetData>
    <row r="3" spans="1:2" x14ac:dyDescent="0.2">
      <c r="A3" s="10" t="s">
        <v>158</v>
      </c>
      <c r="B3" t="s">
        <v>162</v>
      </c>
    </row>
    <row r="4" spans="1:2" x14ac:dyDescent="0.2">
      <c r="A4" s="8" t="s">
        <v>22</v>
      </c>
      <c r="B4" s="2">
        <v>97543</v>
      </c>
    </row>
    <row r="5" spans="1:2" x14ac:dyDescent="0.2">
      <c r="A5" s="11" t="s">
        <v>21</v>
      </c>
      <c r="B5" s="2">
        <v>52385</v>
      </c>
    </row>
    <row r="6" spans="1:2" x14ac:dyDescent="0.2">
      <c r="A6" s="12" t="s">
        <v>36</v>
      </c>
      <c r="B6" s="2">
        <v>13276</v>
      </c>
    </row>
    <row r="7" spans="1:2" x14ac:dyDescent="0.2">
      <c r="A7" s="12" t="s">
        <v>50</v>
      </c>
      <c r="B7" s="2">
        <v>8410</v>
      </c>
    </row>
    <row r="8" spans="1:2" x14ac:dyDescent="0.2">
      <c r="A8" s="12" t="s">
        <v>40</v>
      </c>
      <c r="B8" s="2">
        <v>2086</v>
      </c>
    </row>
    <row r="9" spans="1:2" x14ac:dyDescent="0.2">
      <c r="A9" s="12" t="s">
        <v>29</v>
      </c>
      <c r="B9" s="2">
        <v>1043</v>
      </c>
    </row>
    <row r="10" spans="1:2" x14ac:dyDescent="0.2">
      <c r="A10" s="12" t="s">
        <v>23</v>
      </c>
      <c r="B10" s="2">
        <v>27570</v>
      </c>
    </row>
    <row r="11" spans="1:2" x14ac:dyDescent="0.2">
      <c r="A11" s="11" t="s">
        <v>35</v>
      </c>
      <c r="B11" s="2">
        <v>35559</v>
      </c>
    </row>
    <row r="12" spans="1:2" x14ac:dyDescent="0.2">
      <c r="A12" s="12" t="s">
        <v>36</v>
      </c>
      <c r="B12" s="2">
        <v>16204</v>
      </c>
    </row>
    <row r="13" spans="1:2" x14ac:dyDescent="0.2">
      <c r="A13" s="12" t="s">
        <v>58</v>
      </c>
      <c r="B13" s="2">
        <v>6302</v>
      </c>
    </row>
    <row r="14" spans="1:2" x14ac:dyDescent="0.2">
      <c r="A14" s="12" t="s">
        <v>87</v>
      </c>
      <c r="B14" s="2">
        <v>1054</v>
      </c>
    </row>
    <row r="15" spans="1:2" x14ac:dyDescent="0.2">
      <c r="A15" s="12" t="s">
        <v>29</v>
      </c>
      <c r="B15" s="2">
        <v>1047</v>
      </c>
    </row>
    <row r="16" spans="1:2" x14ac:dyDescent="0.2">
      <c r="A16" s="12" t="s">
        <v>23</v>
      </c>
      <c r="B16" s="2">
        <v>10952</v>
      </c>
    </row>
    <row r="17" spans="1:2" x14ac:dyDescent="0.2">
      <c r="A17" s="11" t="s">
        <v>42</v>
      </c>
      <c r="B17" s="2">
        <v>9599</v>
      </c>
    </row>
    <row r="18" spans="1:2" x14ac:dyDescent="0.2">
      <c r="A18" s="12" t="s">
        <v>36</v>
      </c>
      <c r="B18" s="2">
        <v>2265</v>
      </c>
    </row>
    <row r="19" spans="1:2" x14ac:dyDescent="0.2">
      <c r="A19" s="12" t="s">
        <v>87</v>
      </c>
      <c r="B19" s="2">
        <v>6291</v>
      </c>
    </row>
    <row r="20" spans="1:2" x14ac:dyDescent="0.2">
      <c r="A20" s="12" t="s">
        <v>29</v>
      </c>
      <c r="B20" s="2">
        <v>1043</v>
      </c>
    </row>
    <row r="21" spans="1:2" x14ac:dyDescent="0.2">
      <c r="A21" s="8" t="s">
        <v>28</v>
      </c>
      <c r="B21" s="2">
        <v>65965</v>
      </c>
    </row>
    <row r="22" spans="1:2" x14ac:dyDescent="0.2">
      <c r="A22" s="11" t="s">
        <v>21</v>
      </c>
      <c r="B22" s="2">
        <v>41111</v>
      </c>
    </row>
    <row r="23" spans="1:2" x14ac:dyDescent="0.2">
      <c r="A23" s="12" t="s">
        <v>36</v>
      </c>
      <c r="B23" s="2">
        <v>15656</v>
      </c>
    </row>
    <row r="24" spans="1:2" x14ac:dyDescent="0.2">
      <c r="A24" s="12" t="s">
        <v>50</v>
      </c>
      <c r="B24" s="2">
        <v>5226</v>
      </c>
    </row>
    <row r="25" spans="1:2" x14ac:dyDescent="0.2">
      <c r="A25" s="12" t="s">
        <v>29</v>
      </c>
      <c r="B25" s="2">
        <v>3151</v>
      </c>
    </row>
    <row r="26" spans="1:2" x14ac:dyDescent="0.2">
      <c r="A26" s="12" t="s">
        <v>23</v>
      </c>
      <c r="B26" s="2">
        <v>16035</v>
      </c>
    </row>
    <row r="27" spans="1:2" x14ac:dyDescent="0.2">
      <c r="A27" s="12" t="s">
        <v>45</v>
      </c>
      <c r="B27" s="2">
        <v>1043</v>
      </c>
    </row>
    <row r="28" spans="1:2" x14ac:dyDescent="0.2">
      <c r="A28" s="11" t="s">
        <v>35</v>
      </c>
      <c r="B28" s="2">
        <v>18403</v>
      </c>
    </row>
    <row r="29" spans="1:2" x14ac:dyDescent="0.2">
      <c r="A29" s="12" t="s">
        <v>36</v>
      </c>
      <c r="B29" s="2">
        <v>2435</v>
      </c>
    </row>
    <row r="30" spans="1:2" x14ac:dyDescent="0.2">
      <c r="A30" s="12" t="s">
        <v>58</v>
      </c>
      <c r="B30" s="2">
        <v>2821</v>
      </c>
    </row>
    <row r="31" spans="1:2" x14ac:dyDescent="0.2">
      <c r="A31" s="12" t="s">
        <v>87</v>
      </c>
      <c r="B31" s="2">
        <v>9420</v>
      </c>
    </row>
    <row r="32" spans="1:2" x14ac:dyDescent="0.2">
      <c r="A32" s="12" t="s">
        <v>29</v>
      </c>
      <c r="B32" s="2">
        <v>1043</v>
      </c>
    </row>
    <row r="33" spans="1:2" x14ac:dyDescent="0.2">
      <c r="A33" s="12" t="s">
        <v>23</v>
      </c>
      <c r="B33" s="2">
        <v>2684</v>
      </c>
    </row>
    <row r="34" spans="1:2" x14ac:dyDescent="0.2">
      <c r="A34" s="11" t="s">
        <v>42</v>
      </c>
      <c r="B34" s="2">
        <v>6451</v>
      </c>
    </row>
    <row r="35" spans="1:2" x14ac:dyDescent="0.2">
      <c r="A35" s="12" t="s">
        <v>36</v>
      </c>
      <c r="B35" s="2">
        <v>490</v>
      </c>
    </row>
    <row r="36" spans="1:2" x14ac:dyDescent="0.2">
      <c r="A36" s="12" t="s">
        <v>87</v>
      </c>
      <c r="B36" s="2">
        <v>4216</v>
      </c>
    </row>
    <row r="37" spans="1:2" x14ac:dyDescent="0.2">
      <c r="A37" s="12" t="s">
        <v>29</v>
      </c>
      <c r="B37" s="2">
        <v>1745</v>
      </c>
    </row>
    <row r="38" spans="1:2" x14ac:dyDescent="0.2">
      <c r="A38" s="8" t="s">
        <v>159</v>
      </c>
      <c r="B38" s="2">
        <v>163508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sqref="A1:S89"/>
    </sheetView>
  </sheetViews>
  <sheetFormatPr baseColWidth="10" defaultColWidth="8.83203125" defaultRowHeight="15" x14ac:dyDescent="0.2"/>
  <cols>
    <col min="1" max="1" width="13.33203125" bestFit="1" customWidth="1"/>
    <col min="2" max="2" width="10.6640625" bestFit="1" customWidth="1"/>
    <col min="4" max="4" width="10.1640625" bestFit="1" customWidth="1"/>
    <col min="7" max="7" width="19.6640625" style="8" bestFit="1" customWidth="1"/>
    <col min="9" max="9" width="15.5" bestFit="1" customWidth="1"/>
    <col min="10" max="10" width="19.83203125" bestFit="1" customWidth="1"/>
    <col min="12" max="12" width="14.83203125" bestFit="1" customWidth="1"/>
    <col min="13" max="13" width="25" bestFit="1" customWidth="1"/>
    <col min="15" max="15" width="10.5" bestFit="1" customWidth="1"/>
    <col min="16" max="16" width="11" bestFit="1" customWidth="1"/>
    <col min="17" max="18" width="9.83203125" bestFit="1" customWidth="1"/>
    <col min="19" max="19" width="10.83203125" bestFit="1" customWidth="1"/>
  </cols>
  <sheetData>
    <row r="1" spans="1:1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George Charles Jr.</cp:lastModifiedBy>
  <cp:revision/>
  <dcterms:created xsi:type="dcterms:W3CDTF">2022-11-04T20:14:11Z</dcterms:created>
  <dcterms:modified xsi:type="dcterms:W3CDTF">2026-05-22T05:26:27Z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