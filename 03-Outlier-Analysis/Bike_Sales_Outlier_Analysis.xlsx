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eoki/Downloads/"/>
    </mc:Choice>
  </mc:AlternateContent>
  <xr:revisionPtr revIDLastSave="0" documentId="13_ncr:1_{BD5D9005-3A4A-2B41-B646-BA879C2E1DA6}" xr6:coauthVersionLast="47" xr6:coauthVersionMax="47" xr10:uidLastSave="{00000000-0000-0000-0000-000000000000}"/>
  <bookViews>
    <workbookView xWindow="13660" yWindow="660" windowWidth="16580" windowHeight="17400" xr2:uid="{00000000-000D-0000-FFFF-FFFF00000000}"/>
  </bookViews>
  <sheets>
    <sheet name="Sheet1" sheetId="2" r:id="rId1"/>
    <sheet name="Bike Sales" sheetId="1" r:id="rId2"/>
  </sheets>
  <calcPr calcId="191028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<sst xmlns="http://schemas.openxmlformats.org/spreadsheetml/2006/main" count="816" uniqueCount="159">
  <si>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</si>
  <si>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</si>
  <si>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</si>
  <si>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</si>
  <si>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</si>
  <si>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</si>
  <si>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</si>
  <si>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</si>
  <si>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</si>
  <si>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</si>
  <si>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</si>
  <si>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</si>
  <si>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</si>
  <si>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</si>
  <si>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</si>
  <si>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</si>
  <si>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</si>
  <si>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</si>
  <si>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</si>
  <si>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</si>
  <si>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</si>
  <si>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</si>
  <si>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</si>
  <si>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</si>
  <si>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</si>
  <si>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</si>
  <si>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</si>
  <si>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</si>
  <si>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</si>
  <si>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</si>
  <si>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</si>
  <si>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</si>
  <si>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</si>
  <si>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</si>
  <si>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</si>
  <si>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</si>
  <si>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</si>
  <si>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</si>
  <si>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</si>
  <si>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</si>
  <si>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</si>
  <si>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</si>
  <si>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</si>
  <si>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</si>
  <si>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</si>
  <si>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</si>
  <si>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</si>
  <si>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</si>
  <si>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</si>
  <si>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</si>
  <si>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</si>
  <si>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</si>
  <si>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</si>
  <si>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</si>
  <si>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</si>
  <si>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</si>
  <si>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</si>
  <si>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</si>
  <si>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</si>
  <si>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</si>
  <si>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</si>
  <si>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</si>
  <si>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</si>
  <si>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</si>
  <si>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</si>
  <si>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</si>
  <si>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</si>
  <si>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</si>
  <si>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</si>
  <si>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</si>
  <si>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</si>
  <si>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</si>
  <si>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</si>
  <si>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</si>
  <si>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</si>
  <si>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</si>
  <si>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</si>
  <si>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</si>
  <si>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</si>
  <si>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</si>
  <si>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</si>
  <si>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</si>
  <si>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</si>
  <si>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</si>
  <si>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</si>
  <si>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</si>
  <si>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</si>
  <si>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</si>
  <si>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</si>
  <si>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</si>
  <si>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</si>
  <si>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</si>
  <si>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</si>
  <si>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</si>
  <si>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</si>
  <si>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</si>
  <si>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</si>
  <si>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</si>
  <si>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</si>
  <si>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</si>
  <si>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</si>
  <si>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</si>
  <si>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</si>
  <si>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</si>
  <si>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</si>
  <si>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</si>
  <si>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</si>
  <si>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</si>
  <si>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</si>
  <si>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</si>
  <si>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</si>
  <si>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</si>
  <si>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</si>
  <si>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</si>
  <si>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</si>
  <si>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</si>
  <si>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</si>
  <si>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</si>
  <si>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</si>
  <si>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</si>
  <si>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</si>
  <si>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</si>
  <si>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</si>
  <si>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</si>
  <si>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</si>
  <si>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</si>
  <si>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</si>
  <si>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</si>
  <si>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</si>
  <si>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</si>
  <si>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</si>
  <si>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</si>
  <si>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</si>
  <si>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</si>
  <si>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</si>
  <si>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</si>
  <si>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</si>
  <si>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</si>
  <si>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</si>
  <si>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</si>
  <si>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</si>
  <si>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</si>
  <si>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</si>
  <si>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</si>
  <si>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</si>
  <si>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</si>
  <si>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</si>
  <si>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</si>
  <si>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</si>
  <si>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</si>
  <si>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</si>
  <si>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</si>
  <si>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</si>
  <si>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</si>
  <si>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</si>
  <si>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</si>
  <si>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Row Labels</t>
  </si>
  <si>
    <t>Grand Total</t>
  </si>
  <si>
    <t>Sum of Order_Quantity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</si>
</sst>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Sum of Order_Quantity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Sheet1!$E$4:$E$27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11</c:v>
                </c:pt>
                <c:pt idx="8">
                  <c:v>3</c:v>
                </c:pt>
                <c:pt idx="9">
                  <c:v>8</c:v>
                </c:pt>
                <c:pt idx="10">
                  <c:v>8</c:v>
                </c:pt>
                <c:pt idx="11">
                  <c:v>12</c:v>
                </c:pt>
                <c:pt idx="12">
                  <c:v>6</c:v>
                </c:pt>
                <c:pt idx="13">
                  <c:v>4</c:v>
                </c:pt>
                <c:pt idx="14">
                  <c:v>1</c:v>
                </c:pt>
                <c:pt idx="15">
                  <c:v>5</c:v>
                </c:pt>
                <c:pt idx="16">
                  <c:v>4</c:v>
                </c:pt>
                <c:pt idx="17">
                  <c:v>19</c:v>
                </c:pt>
                <c:pt idx="18">
                  <c:v>43</c:v>
                </c:pt>
                <c:pt idx="19">
                  <c:v>13</c:v>
                </c:pt>
                <c:pt idx="20">
                  <c:v>5</c:v>
                </c:pt>
                <c:pt idx="21">
                  <c:v>10</c:v>
                </c:pt>
                <c:pt idx="22">
                  <c:v>3</c:v>
                </c:pt>
                <c:pt idx="2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A-8245-B80E-CDCF1C0A2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871359"/>
        <c:axId val="723864639"/>
      </c:scatterChart>
      <c:valAx>
        <c:axId val="72387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864639"/>
        <c:crosses val="autoZero"/>
        <c:crossBetween val="midCat"/>
      </c:valAx>
      <c:valAx>
        <c:axId val="72386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87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7</xdr:row>
      <xdr:rowOff>152400</xdr:rowOff>
    </xdr:from>
    <xdr:to>
      <xdr:col>11</xdr:col>
      <xdr:colOff>50800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8E97A-2D35-D1DD-7D1C-76D36FA4F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Charles Jr." refreshedDate="46164.836814351853" createdVersion="8" refreshedVersion="8" minRefreshableVersion="3" recordCount="88" xr:uid="{3B7C808A-1AC8-F14D-AC9B-EAE9D3FFD986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 count="24"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</sharedItems>
    </cacheField>
    <cacheField name="Day" numFmtId="0">
      <sharedItems containsSemiMixedTypes="0" containsString="0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/>
    </cacheField>
    <cacheField name="Customer_Gender" numFmtId="0">
      <sharedItems/>
    </cacheField>
    <cacheField name="Country" numFmtId="0">
      <sharedItems/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11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13926"/>
    </cacheField>
    <cacheField name="Revenue" numFmtId="8">
      <sharedItems containsSemiMixedTypes="0" containsString="0" containsNumber="1" containsInteger="1" minValue="540" maxValue="25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x v="0"/>
    <n v="1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695"/>
    <x v="0"/>
    <n v="1"/>
    <s v="December"/>
    <n v="2021"/>
    <n v="44"/>
    <s v="Adults (35-64)"/>
    <s v="M"/>
    <s v="United Kingdom"/>
    <s v="England"/>
    <s v="Bikes"/>
    <s v="Mountain Bikes"/>
    <s v="Mountain-200 Silver, 42"/>
    <n v="1"/>
    <n v="1266"/>
    <n v="2320"/>
    <n v="1054"/>
    <n v="1266"/>
    <n v="2320"/>
  </r>
  <r>
    <s v="000261697"/>
    <x v="1"/>
    <n v="2"/>
    <s v="December"/>
    <n v="2021"/>
    <n v="37"/>
    <s v="Adults (35-64)"/>
    <s v="M"/>
    <s v="United States"/>
    <s v="California"/>
    <s v="Bikes"/>
    <s v="Mountain Bikes"/>
    <s v="Mountain-400-W Silver, 46"/>
    <n v="2"/>
    <n v="420"/>
    <n v="769"/>
    <n v="698"/>
    <n v="840"/>
    <n v="1538"/>
  </r>
  <r>
    <s v="000261698"/>
    <x v="1"/>
    <n v="2"/>
    <s v="December"/>
    <n v="2021"/>
    <n v="31"/>
    <s v="Young Adults (25-34)"/>
    <s v="F"/>
    <s v="Australia"/>
    <s v="New South Wales"/>
    <s v="Bikes"/>
    <s v="Mountain Bikes"/>
    <s v="Mountain-400-W Silver, 42"/>
    <n v="1"/>
    <n v="420"/>
    <n v="769"/>
    <n v="349"/>
    <n v="420"/>
    <n v="769"/>
  </r>
  <r>
    <s v="000261699"/>
    <x v="2"/>
    <n v="3"/>
    <s v="December"/>
    <n v="2021"/>
    <n v="37"/>
    <s v="Adults (35-64)"/>
    <s v="F"/>
    <s v="United States"/>
    <s v="California"/>
    <s v="Bikes"/>
    <s v="Mountain Bikes"/>
    <s v="Mountain-200 Black, 46"/>
    <n v="2"/>
    <n v="1252"/>
    <n v="2295"/>
    <n v="2086"/>
    <n v="2504"/>
    <n v="4590"/>
  </r>
  <r>
    <s v="000261700"/>
    <x v="2"/>
    <n v="3"/>
    <s v="December"/>
    <n v="2021"/>
    <n v="24"/>
    <s v="Youth (&lt;25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01"/>
    <x v="2"/>
    <n v="3"/>
    <s v="December"/>
    <n v="2021"/>
    <n v="37"/>
    <s v="Adults (35-64)"/>
    <s v="M"/>
    <s v="United States"/>
    <s v="Washington"/>
    <s v="Bikes"/>
    <s v="Mountain Bikes"/>
    <s v="Mountain-200 Black, 46"/>
    <n v="1"/>
    <n v="1252"/>
    <n v="2295"/>
    <n v="1043"/>
    <n v="1252"/>
    <n v="2295"/>
  </r>
  <r>
    <s v="000261702"/>
    <x v="3"/>
    <n v="4"/>
    <s v="December"/>
    <n v="2021"/>
    <n v="31"/>
    <s v="Young Adults (25-34)"/>
    <s v="F"/>
    <s v="Australia"/>
    <s v="New South Wales"/>
    <s v="Bikes"/>
    <s v="Mountain Bikes"/>
    <s v="Mountain-400-W Silver, 42"/>
    <n v="4"/>
    <n v="420"/>
    <n v="769"/>
    <n v="1396"/>
    <n v="1680"/>
    <n v="3076"/>
  </r>
  <r>
    <s v="000261703"/>
    <x v="4"/>
    <n v="5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04"/>
    <x v="4"/>
    <n v="5"/>
    <s v="December"/>
    <n v="2021"/>
    <n v="42"/>
    <s v="Adults (35-64)"/>
    <s v="M"/>
    <s v="Germany"/>
    <s v="Nordrhein-Westfalen"/>
    <s v="Bikes"/>
    <s v="Mountain Bikes"/>
    <s v="Mountain-200 Black, 38"/>
    <n v="4"/>
    <n v="1252"/>
    <n v="2295"/>
    <n v="4172"/>
    <n v="5008"/>
    <n v="9180"/>
  </r>
  <r>
    <s v="000261705"/>
    <x v="4"/>
    <n v="5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06"/>
    <x v="4"/>
    <n v="5"/>
    <s v="December"/>
    <n v="2021"/>
    <n v="37"/>
    <s v="Adults (35-64)"/>
    <s v="F"/>
    <s v="United States"/>
    <s v="California"/>
    <s v="Bikes"/>
    <s v="Mountain Bikes"/>
    <s v="Mountain-200 Black, 46"/>
    <n v="1"/>
    <n v="1252"/>
    <n v="2295"/>
    <n v="1043"/>
    <n v="1252"/>
    <n v="2295"/>
  </r>
  <r>
    <s v="000261707"/>
    <x v="5"/>
    <n v="6"/>
    <s v="December"/>
    <n v="2021"/>
    <n v="23"/>
    <s v="Youth (&lt;25)"/>
    <s v="M"/>
    <s v="United Kingdom"/>
    <s v="England"/>
    <s v="Bikes"/>
    <s v="Mountain Bikes"/>
    <s v="Mountain-400-W Silver, 46"/>
    <n v="3"/>
    <n v="420"/>
    <n v="769"/>
    <n v="1047"/>
    <n v="1260"/>
    <n v="2307"/>
  </r>
  <r>
    <s v="000261708"/>
    <x v="5"/>
    <n v="6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09"/>
    <x v="5"/>
    <n v="6"/>
    <s v="December"/>
    <n v="2021"/>
    <n v="36"/>
    <s v="Adults (35-64)"/>
    <s v="M"/>
    <s v="Australia"/>
    <s v="New South Wales"/>
    <s v="Bikes"/>
    <s v="Mountain Bikes"/>
    <s v="Mountain-200 Black, 42"/>
    <n v="1"/>
    <n v="1252"/>
    <n v="2295"/>
    <n v="1043"/>
    <n v="1252"/>
    <n v="2295"/>
  </r>
  <r>
    <s v="000261710"/>
    <x v="5"/>
    <n v="6"/>
    <s v="December"/>
    <n v="2021"/>
    <n v="47"/>
    <s v="Adults (35-64)"/>
    <s v="M"/>
    <s v="United Kingdom"/>
    <s v="England"/>
    <s v="Bikes"/>
    <s v="Mountain Bikes"/>
    <s v="Mountain-200 Silver, 38"/>
    <n v="1"/>
    <n v="1266"/>
    <n v="2320"/>
    <n v="1054"/>
    <n v="1266"/>
    <n v="2320"/>
  </r>
  <r>
    <s v="000261711"/>
    <x v="6"/>
    <n v="7"/>
    <s v="December"/>
    <n v="2021"/>
    <n v="30"/>
    <s v="Young Adults (25-34)"/>
    <s v="M"/>
    <s v="United States"/>
    <s v="California"/>
    <s v="Bikes"/>
    <s v="Mountain Bikes"/>
    <s v="Mountain-400-W Silver, 38"/>
    <n v="4"/>
    <n v="420"/>
    <n v="769"/>
    <n v="1396"/>
    <n v="1680"/>
    <n v="3076"/>
  </r>
  <r>
    <s v="000261712"/>
    <x v="6"/>
    <n v="7"/>
    <s v="December"/>
    <n v="2021"/>
    <n v="38"/>
    <s v="Adults (35-64)"/>
    <s v="M"/>
    <s v="United States"/>
    <s v="California"/>
    <s v="Bikes"/>
    <s v="Mountain Bikes"/>
    <s v="Mountain-200 Silver, 42"/>
    <n v="2"/>
    <n v="1266"/>
    <n v="2320"/>
    <n v="2108"/>
    <n v="2532"/>
    <n v="4640"/>
  </r>
  <r>
    <s v="000261713"/>
    <x v="7"/>
    <n v="8"/>
    <s v="December"/>
    <n v="2021"/>
    <n v="19"/>
    <s v="Youth (&lt;25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14"/>
    <x v="7"/>
    <n v="8"/>
    <s v="December"/>
    <n v="2021"/>
    <n v="30"/>
    <s v="Young Adults (25-34)"/>
    <s v="F"/>
    <s v="Canada"/>
    <s v="British Columbia"/>
    <s v="Bikes"/>
    <s v="Mountain Bikes"/>
    <s v="Mountain-200 Silver, 38"/>
    <n v="4"/>
    <n v="1266"/>
    <n v="2320"/>
    <n v="4216"/>
    <n v="5064"/>
    <n v="9280"/>
  </r>
  <r>
    <s v="000261715"/>
    <x v="7"/>
    <n v="8"/>
    <s v="December"/>
    <n v="2021"/>
    <n v="39"/>
    <s v="Adults (35-64)"/>
    <s v="F"/>
    <s v="United States"/>
    <s v="Oregon"/>
    <s v="Bikes"/>
    <s v="Mountain Bikes"/>
    <s v="Mountain-500 Black, 42"/>
    <n v="2"/>
    <n v="1252"/>
    <n v="2295"/>
    <n v="2086"/>
    <n v="2504"/>
    <n v="4590"/>
  </r>
  <r>
    <s v="000261716"/>
    <x v="7"/>
    <n v="8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17"/>
    <x v="8"/>
    <n v="9"/>
    <s v="December"/>
    <n v="2021"/>
    <n v="33"/>
    <s v="Young Adults (25-34)"/>
    <s v="F"/>
    <s v="Australia"/>
    <s v="Victoria"/>
    <s v="Bikes"/>
    <s v="Mountain Bikes"/>
    <s v="Mountain-100 Black, 38"/>
    <n v="2"/>
    <n v="1898"/>
    <n v="3375"/>
    <n v="2954"/>
    <n v="3796"/>
    <n v="6750"/>
  </r>
  <r>
    <s v="000261718"/>
    <x v="8"/>
    <n v="9"/>
    <s v="December"/>
    <n v="2021"/>
    <n v="41"/>
    <s v="Adults (35-64)"/>
    <s v="F"/>
    <s v="Germany"/>
    <s v="Hamburg"/>
    <s v="Bikes"/>
    <s v="Mountain Bikes"/>
    <s v="Mountain-200 Silver, 42"/>
    <n v="1"/>
    <n v="1266"/>
    <n v="2320"/>
    <n v="1054"/>
    <n v="1266"/>
    <n v="2320"/>
  </r>
  <r>
    <s v="000261719"/>
    <x v="9"/>
    <n v="10"/>
    <s v="December"/>
    <n v="2021"/>
    <n v="34"/>
    <s v="Young Adults (25-34)"/>
    <s v="F"/>
    <s v="United States"/>
    <s v="California"/>
    <s v="Bikes"/>
    <s v="Mountain Bikes"/>
    <s v="Mountain-200 Black, 42"/>
    <n v="2"/>
    <n v="1252"/>
    <n v="2295"/>
    <n v="2086"/>
    <n v="2504"/>
    <n v="4590"/>
  </r>
  <r>
    <s v="000261720"/>
    <x v="9"/>
    <n v="10"/>
    <s v="December"/>
    <n v="2021"/>
    <n v="40"/>
    <s v="Adults (35-64)"/>
    <s v="M"/>
    <s v="Australia"/>
    <s v="New South Wales"/>
    <s v="Bikes"/>
    <s v="Mountain Bikes"/>
    <s v="Mountain-200 Black, 42"/>
    <n v="2"/>
    <n v="1252"/>
    <n v="2295"/>
    <n v="2086"/>
    <n v="2504"/>
    <n v="4590"/>
  </r>
  <r>
    <s v="000261721"/>
    <x v="9"/>
    <n v="10"/>
    <s v="December"/>
    <n v="2021"/>
    <n v="26"/>
    <s v="Young Adults (25-3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22"/>
    <x v="9"/>
    <n v="10"/>
    <s v="December"/>
    <n v="2021"/>
    <n v="34"/>
    <s v="Young Adults (25-34)"/>
    <s v="M"/>
    <s v="United States"/>
    <s v="California"/>
    <s v="Bikes"/>
    <s v="Mountain Bikes"/>
    <s v="Mountain-500 Black, 40"/>
    <n v="1"/>
    <n v="295"/>
    <n v="540"/>
    <n v="245"/>
    <n v="295"/>
    <n v="540"/>
  </r>
  <r>
    <s v="000261723"/>
    <x v="9"/>
    <n v="10"/>
    <s v="December"/>
    <n v="2021"/>
    <n v="34"/>
    <s v="Young Adults (25-34)"/>
    <s v="F"/>
    <s v="United States"/>
    <s v="Washington"/>
    <s v="Bikes"/>
    <s v="Mountain Bikes"/>
    <s v="Mountain-100 Silver, 44"/>
    <n v="1"/>
    <n v="1912"/>
    <n v="3400"/>
    <n v="1488"/>
    <n v="1912"/>
    <n v="3400"/>
  </r>
  <r>
    <s v="000261724"/>
    <x v="9"/>
    <n v="10"/>
    <s v="December"/>
    <n v="2021"/>
    <n v="38"/>
    <s v="Adults (35-64)"/>
    <s v="M"/>
    <s v="Australia"/>
    <s v="New South Wales"/>
    <s v="Bikes"/>
    <s v="Mountain Bikes"/>
    <s v="Mountain-200 Black, 38"/>
    <n v="1"/>
    <n v="1252"/>
    <n v="2295"/>
    <n v="1043"/>
    <n v="1252"/>
    <n v="2295"/>
  </r>
  <r>
    <s v="000261725"/>
    <x v="10"/>
    <n v="11"/>
    <s v="December"/>
    <n v="2021"/>
    <n v="24"/>
    <s v="Youth (&lt;25)"/>
    <s v="F"/>
    <s v="France"/>
    <s v="Seine (Paris)"/>
    <s v="Bikes"/>
    <s v="Mountain Bikes"/>
    <s v="Mountain-200 Black, 38"/>
    <n v="3"/>
    <n v="1252"/>
    <n v="2295"/>
    <n v="3129"/>
    <n v="3756"/>
    <n v="6885"/>
  </r>
  <r>
    <s v="000261726"/>
    <x v="10"/>
    <n v="11"/>
    <s v="December"/>
    <n v="2021"/>
    <n v="41"/>
    <s v="Adults (35-64)"/>
    <s v="F"/>
    <s v="Australia"/>
    <s v="New South Wales"/>
    <s v="Bikes"/>
    <s v="Mountain Bikes"/>
    <s v="Mountain-400-W Silver, 38"/>
    <n v="2"/>
    <n v="420"/>
    <n v="769"/>
    <n v="698"/>
    <n v="840"/>
    <n v="1538"/>
  </r>
  <r>
    <s v="000261727"/>
    <x v="10"/>
    <n v="11"/>
    <s v="December"/>
    <n v="2021"/>
    <n v="27"/>
    <s v="Young Adults (25-34)"/>
    <s v="M"/>
    <s v="Canada"/>
    <s v="British Columbia"/>
    <s v="Bikes"/>
    <s v="Mountain Bikes"/>
    <s v="Mountain-200 Black, 46"/>
    <n v="1"/>
    <n v="1252"/>
    <n v="2295"/>
    <n v="1043"/>
    <n v="1252"/>
    <n v="2295"/>
  </r>
  <r>
    <s v="000261728"/>
    <x v="10"/>
    <n v="11"/>
    <s v="December"/>
    <n v="2021"/>
    <n v="37"/>
    <s v="Adults (35-64)"/>
    <s v="M"/>
    <s v="United States"/>
    <s v="California"/>
    <s v="Bikes"/>
    <s v="Mountain Bikes"/>
    <s v="Mountain-400-W Silver, 46"/>
    <n v="1"/>
    <n v="420"/>
    <n v="769"/>
    <n v="349"/>
    <n v="420"/>
    <n v="769"/>
  </r>
  <r>
    <s v="000261729"/>
    <x v="10"/>
    <n v="11"/>
    <s v="December"/>
    <n v="2021"/>
    <n v="38"/>
    <s v="Adults (35-64)"/>
    <s v="F"/>
    <s v="United States"/>
    <s v="California"/>
    <s v="Bikes"/>
    <s v="Mountain Bikes"/>
    <s v="Mountain-200 Silver, 38"/>
    <n v="1"/>
    <n v="1266"/>
    <n v="2320"/>
    <n v="1054"/>
    <n v="1266"/>
    <n v="2320"/>
  </r>
  <r>
    <s v="000261730"/>
    <x v="11"/>
    <n v="12"/>
    <s v="December"/>
    <n v="2021"/>
    <n v="36"/>
    <s v="Adults (35-64)"/>
    <s v="F"/>
    <s v="Australia"/>
    <s v="New South Wales"/>
    <s v="Bikes"/>
    <s v="Mountain Bikes"/>
    <s v="Mountain-200 Silver, 42"/>
    <n v="4"/>
    <n v="1266"/>
    <n v="2320"/>
    <n v="4216"/>
    <n v="5064"/>
    <n v="9280"/>
  </r>
  <r>
    <s v="000261731"/>
    <x v="11"/>
    <n v="12"/>
    <s v="December"/>
    <n v="2021"/>
    <n v="37"/>
    <s v="Adults (35-64)"/>
    <s v="M"/>
    <s v="United States"/>
    <s v="California"/>
    <s v="Bikes"/>
    <s v="Mountain Bikes"/>
    <s v="Mountain-400-W Silver, 46"/>
    <n v="4"/>
    <n v="420"/>
    <n v="769"/>
    <n v="1396"/>
    <n v="1680"/>
    <n v="3076"/>
  </r>
  <r>
    <s v="000261732"/>
    <x v="11"/>
    <n v="12"/>
    <s v="December"/>
    <n v="2021"/>
    <n v="34"/>
    <s v="Young Adults (25-3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33"/>
    <x v="11"/>
    <n v="12"/>
    <s v="December"/>
    <n v="2021"/>
    <n v="35"/>
    <s v="Adults (35-64)"/>
    <s v="F"/>
    <s v="Australia"/>
    <s v="Victoria"/>
    <s v="Bikes"/>
    <s v="Mountain Bikes"/>
    <s v="Mountain-200 Silver, 42"/>
    <n v="1"/>
    <n v="1266"/>
    <n v="2320"/>
    <n v="1054"/>
    <n v="1266"/>
    <n v="2320"/>
  </r>
  <r>
    <s v="000261734"/>
    <x v="11"/>
    <n v="12"/>
    <s v="December"/>
    <n v="2021"/>
    <n v="38"/>
    <s v="Adults (35-64)"/>
    <s v="F"/>
    <s v="United States"/>
    <s v="Washington"/>
    <s v="Bikes"/>
    <s v="Mountain Bikes"/>
    <s v="Mountain-200 Silver, 42"/>
    <n v="1"/>
    <n v="1266"/>
    <n v="2320"/>
    <n v="1054"/>
    <n v="1266"/>
    <n v="2320"/>
  </r>
  <r>
    <s v="000261735"/>
    <x v="12"/>
    <n v="13"/>
    <s v="December"/>
    <n v="2021"/>
    <n v="32"/>
    <s v="Young Adults (25-34)"/>
    <s v="F"/>
    <s v="Australia"/>
    <s v="Queensland"/>
    <s v="Bikes"/>
    <s v="Mountain Bikes"/>
    <s v="Mountain-200 Silver, 42"/>
    <n v="3"/>
    <n v="1266"/>
    <n v="2320"/>
    <n v="3162"/>
    <n v="3798"/>
    <n v="6960"/>
  </r>
  <r>
    <s v="000261736"/>
    <x v="12"/>
    <n v="13"/>
    <s v="December"/>
    <n v="2021"/>
    <n v="40"/>
    <s v="Adults (35-64)"/>
    <s v="F"/>
    <s v="United States"/>
    <s v="California"/>
    <s v="Bikes"/>
    <s v="Mountain Bikes"/>
    <s v="Mountain-500 Silver, 40"/>
    <n v="1"/>
    <n v="308"/>
    <n v="565"/>
    <n v="257"/>
    <n v="308"/>
    <n v="565"/>
  </r>
  <r>
    <s v="000261737"/>
    <x v="12"/>
    <n v="13"/>
    <s v="December"/>
    <n v="2021"/>
    <n v="44"/>
    <s v="Adults (35-64)"/>
    <s v="F"/>
    <s v="United Kingdom"/>
    <s v="England"/>
    <s v="Bikes"/>
    <s v="Mountain Bikes"/>
    <s v="Mountain-200 Black, 38"/>
    <n v="1"/>
    <n v="1252"/>
    <n v="2295"/>
    <n v="1043"/>
    <n v="1252"/>
    <n v="2295"/>
  </r>
  <r>
    <s v="000261738"/>
    <x v="12"/>
    <n v="13"/>
    <s v="December"/>
    <n v="2021"/>
    <n v="49"/>
    <s v="Adults (35-64)"/>
    <s v="M"/>
    <s v="United Kingdom"/>
    <s v="England"/>
    <s v="Bikes"/>
    <s v="Mountain Bikes"/>
    <s v="Mountain-200 Black, 38"/>
    <n v="1"/>
    <n v="1252"/>
    <n v="2295"/>
    <n v="1043"/>
    <n v="1252"/>
    <n v="2295"/>
  </r>
  <r>
    <s v="000261739"/>
    <x v="13"/>
    <n v="14"/>
    <s v="December"/>
    <n v="2021"/>
    <n v="30"/>
    <s v="Young Adults (25-3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0"/>
    <x v="13"/>
    <n v="14"/>
    <s v="December"/>
    <n v="2021"/>
    <n v="32"/>
    <s v="Young Adults (25-34)"/>
    <s v="M"/>
    <s v="United States"/>
    <s v="California"/>
    <s v="Bikes"/>
    <s v="Mountain Bikes"/>
    <s v="Mountain-200 Black, 46"/>
    <n v="1"/>
    <n v="1252"/>
    <n v="2295"/>
    <n v="1043"/>
    <n v="1252"/>
    <n v="2295"/>
  </r>
  <r>
    <s v="000261741"/>
    <x v="13"/>
    <n v="14"/>
    <s v="December"/>
    <n v="2021"/>
    <n v="32"/>
    <s v="Young Adults (25-34)"/>
    <s v="F"/>
    <s v="Australia"/>
    <s v="Victoria"/>
    <s v="Bikes"/>
    <s v="Mountain Bikes"/>
    <s v="Mountain-400-W Silver, 46"/>
    <n v="1"/>
    <n v="420"/>
    <n v="769"/>
    <n v="349"/>
    <n v="420"/>
    <n v="769"/>
  </r>
  <r>
    <s v="000261742"/>
    <x v="14"/>
    <n v="15"/>
    <s v="December"/>
    <n v="2021"/>
    <n v="29"/>
    <s v="Young Adults (25-34)"/>
    <s v="F"/>
    <s v="United States"/>
    <s v="California"/>
    <s v="Bikes"/>
    <s v="Mountain Bikes"/>
    <s v="Mountain-200 Silver, 42"/>
    <n v="1"/>
    <n v="1266"/>
    <n v="2320"/>
    <n v="1054"/>
    <n v="1266"/>
    <n v="2320"/>
  </r>
  <r>
    <s v="000261743"/>
    <x v="15"/>
    <n v="16"/>
    <s v="December"/>
    <n v="2021"/>
    <n v="33"/>
    <s v="Young Adults (25-34)"/>
    <s v="F"/>
    <s v="Australia"/>
    <s v="New South Wales"/>
    <s v="Bikes"/>
    <s v="Mountain Bikes"/>
    <s v="Mountain-200 Black, 38"/>
    <n v="2"/>
    <n v="1252"/>
    <n v="2295"/>
    <n v="2086"/>
    <n v="2504"/>
    <n v="4590"/>
  </r>
  <r>
    <s v="000261744"/>
    <x v="15"/>
    <n v="16"/>
    <s v="December"/>
    <n v="2021"/>
    <n v="38"/>
    <s v="Adults (35-64)"/>
    <s v="M"/>
    <s v="Australia"/>
    <s v="New South Wales"/>
    <s v="Bikes"/>
    <s v="Mountain Bikes"/>
    <s v="Mountain-200 Black, 38"/>
    <n v="2"/>
    <n v="1252"/>
    <n v="2295"/>
    <n v="2086"/>
    <n v="2504"/>
    <n v="4590"/>
  </r>
  <r>
    <s v="000261745"/>
    <x v="15"/>
    <n v="16"/>
    <s v="December"/>
    <n v="2021"/>
    <n v="27"/>
    <s v="Young Adults (25-34)"/>
    <s v="F"/>
    <s v="France"/>
    <s v="Seine et Marne"/>
    <s v="Bikes"/>
    <s v="Mountain Bikes"/>
    <s v="Mountain-200 Silver, 46"/>
    <n v="1"/>
    <n v="1266"/>
    <n v="2320"/>
    <n v="1054"/>
    <n v="1266"/>
    <n v="2320"/>
  </r>
  <r>
    <s v="000261746"/>
    <x v="16"/>
    <n v="17"/>
    <s v="December"/>
    <n v="2021"/>
    <n v="37"/>
    <s v="Adults (35-64)"/>
    <s v="F"/>
    <s v="United States"/>
    <s v="Washington"/>
    <s v="Bikes"/>
    <s v="Mountain Bikes"/>
    <s v="Mountain-200 Silver, 38"/>
    <n v="2"/>
    <n v="1266"/>
    <n v="2320"/>
    <n v="2108"/>
    <n v="2532"/>
    <n v="4640"/>
  </r>
  <r>
    <s v="000261747"/>
    <x v="16"/>
    <n v="17"/>
    <s v="December"/>
    <n v="2021"/>
    <n v="31"/>
    <s v="Young Adults (25-34)"/>
    <s v="M"/>
    <s v="Australia"/>
    <s v="New South Wales"/>
    <s v="Bikes"/>
    <s v="Mountain Bikes"/>
    <s v="Mountain-400-W Silver, 42"/>
    <n v="1"/>
    <n v="420"/>
    <n v="769"/>
    <n v="349"/>
    <n v="420"/>
    <n v="769"/>
  </r>
  <r>
    <s v="000261748"/>
    <x v="16"/>
    <n v="17"/>
    <s v="December"/>
    <n v="2021"/>
    <n v="42"/>
    <s v="Adults (35-64)"/>
    <s v="F"/>
    <s v="Germany"/>
    <s v="Nordrhein-Westfalen"/>
    <s v="Bikes"/>
    <s v="Mountain Bikes"/>
    <s v="Mountain-200 Silver, 46"/>
    <n v="1"/>
    <n v="1266"/>
    <n v="2320"/>
    <n v="1054"/>
    <n v="1266"/>
    <n v="2320"/>
  </r>
  <r>
    <s v="000261749"/>
    <x v="17"/>
    <n v="18"/>
    <s v="December"/>
    <n v="2021"/>
    <n v="35"/>
    <s v="Adults (35-64)"/>
    <s v="F"/>
    <s v="Australia"/>
    <s v="New South Wales"/>
    <s v="Bikes"/>
    <s v="Mountain Bikes"/>
    <s v="Mountain-500 Silver, 42"/>
    <n v="4"/>
    <n v="308"/>
    <n v="565"/>
    <n v="1028"/>
    <n v="1232"/>
    <n v="2260"/>
  </r>
  <r>
    <s v="000261750"/>
    <x v="17"/>
    <n v="18"/>
    <s v="December"/>
    <n v="2021"/>
    <n v="38"/>
    <s v="Adults (35-64)"/>
    <s v="F"/>
    <s v="Germany"/>
    <s v="Nordrhein-Westfalen"/>
    <s v="Bikes"/>
    <s v="Mountain Bikes"/>
    <s v="Mountain-200 Silver, 46"/>
    <n v="4"/>
    <n v="1266"/>
    <n v="2320"/>
    <n v="4216"/>
    <n v="5064"/>
    <n v="9280"/>
  </r>
  <r>
    <s v="000261751"/>
    <x v="17"/>
    <n v="18"/>
    <s v="December"/>
    <n v="2021"/>
    <n v="24"/>
    <s v="Youth (&lt;25)"/>
    <s v="F"/>
    <s v="France"/>
    <s v="Seine Saint Denis"/>
    <s v="Bikes"/>
    <s v="Mountain Bikes"/>
    <s v="Mountain-200 Silver, 38"/>
    <n v="3"/>
    <n v="1266"/>
    <n v="2320"/>
    <n v="3162"/>
    <n v="3798"/>
    <n v="6960"/>
  </r>
  <r>
    <s v="000261752"/>
    <x v="17"/>
    <n v="18"/>
    <s v="December"/>
    <n v="2021"/>
    <n v="26"/>
    <s v="Young Adults (25-34)"/>
    <s v="F"/>
    <s v="United Kingdom"/>
    <s v="England"/>
    <s v="Bikes"/>
    <s v="Mountain Bikes"/>
    <s v="Mountain-400-W Silver, 42"/>
    <n v="3"/>
    <n v="420"/>
    <n v="769"/>
    <n v="1047"/>
    <n v="1260"/>
    <n v="2307"/>
  </r>
  <r>
    <s v="000261753"/>
    <x v="17"/>
    <n v="18"/>
    <s v="December"/>
    <n v="2021"/>
    <n v="39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54"/>
    <x v="17"/>
    <n v="18"/>
    <s v="December"/>
    <n v="2021"/>
    <n v="26"/>
    <s v="Young Adults (25-34)"/>
    <s v="M"/>
    <s v="France"/>
    <s v="Seine (Paris)"/>
    <s v="Bikes"/>
    <s v="Mountain Bikes"/>
    <s v="Mountain-200 Black, 46"/>
    <n v="1"/>
    <n v="1252"/>
    <n v="2295"/>
    <n v="1043"/>
    <n v="1252"/>
    <n v="2295"/>
  </r>
  <r>
    <s v="000261755"/>
    <x v="17"/>
    <n v="18"/>
    <s v="December"/>
    <n v="2021"/>
    <n v="36"/>
    <s v="Adults (35-64)"/>
    <s v="M"/>
    <s v="United States"/>
    <s v="Washington"/>
    <s v="Bikes"/>
    <s v="Mountain Bikes"/>
    <s v="Mountain-200 Silver, 38"/>
    <n v="1"/>
    <n v="1266"/>
    <n v="2320"/>
    <n v="1054"/>
    <n v="1266"/>
    <n v="2320"/>
  </r>
  <r>
    <s v="000261756"/>
    <x v="18"/>
    <n v="19"/>
    <s v="December"/>
    <n v="2021"/>
    <n v="17"/>
    <s v="Youth (&lt;25)"/>
    <s v="M"/>
    <s v="France"/>
    <s v="Nord"/>
    <s v="Bikes"/>
    <s v="Mountain Bikes"/>
    <s v="Mountain-200 Silver, 46"/>
    <n v="4"/>
    <n v="1266"/>
    <n v="2320"/>
    <n v="4216"/>
    <n v="5064"/>
    <n v="9280"/>
  </r>
  <r>
    <s v="000261757"/>
    <x v="18"/>
    <n v="19"/>
    <s v="December"/>
    <n v="2021"/>
    <n v="19"/>
    <s v="Youth (&lt;25)"/>
    <s v="F"/>
    <s v="Australia"/>
    <s v="Victoria"/>
    <s v="Bikes"/>
    <s v="Mountain Bikes"/>
    <s v="Mountain-500 Black, 44"/>
    <n v="4"/>
    <n v="295"/>
    <n v="540"/>
    <n v="980"/>
    <n v="1180"/>
    <n v="2160"/>
  </r>
  <r>
    <s v="000261758"/>
    <x v="18"/>
    <n v="19"/>
    <s v="December"/>
    <n v="2021"/>
    <n v="25"/>
    <s v="Young Adults (25-34)"/>
    <s v="M"/>
    <s v="France"/>
    <s v="Seine (Paris)"/>
    <s v="Bikes"/>
    <s v="Mountain Bikes"/>
    <s v="Mountain-200 Black, 38"/>
    <n v="4"/>
    <n v="1252"/>
    <n v="2295"/>
    <n v="4172"/>
    <n v="5008"/>
    <n v="9180"/>
  </r>
  <r>
    <s v="000261759"/>
    <x v="18"/>
    <n v="19"/>
    <s v="December"/>
    <n v="2021"/>
    <n v="35"/>
    <s v="Adults (35-64)"/>
    <s v="F"/>
    <s v="United States"/>
    <s v="Oregon"/>
    <s v="Bikes"/>
    <s v="Mountain Bikes"/>
    <s v="Mountain-100 Black, 48"/>
    <n v="4"/>
    <n v="1898"/>
    <n v="3375"/>
    <n v="5908"/>
    <n v="7592"/>
    <n v="13500"/>
  </r>
  <r>
    <s v="000261760"/>
    <x v="18"/>
    <n v="19"/>
    <s v="December"/>
    <n v="2021"/>
    <n v="37"/>
    <s v="Adults (35-64)"/>
    <s v="M"/>
    <s v="United States"/>
    <s v="Oregon"/>
    <s v="Bikes"/>
    <s v="Mountain Bikes"/>
    <s v="Mountain-200 Black, 38"/>
    <n v="4"/>
    <n v="1252"/>
    <n v="2295"/>
    <n v="4172"/>
    <n v="5008"/>
    <n v="9180"/>
  </r>
  <r>
    <s v="000261761"/>
    <x v="18"/>
    <n v="19"/>
    <s v="December"/>
    <n v="2021"/>
    <n v="39"/>
    <s v="Adults (35-64)"/>
    <s v="F"/>
    <s v="United States"/>
    <s v="California"/>
    <s v="Bikes"/>
    <s v="Mountain Bikes"/>
    <s v="Mountain-200 Black, 46"/>
    <n v="4"/>
    <n v="1252"/>
    <n v="2295"/>
    <n v="4172"/>
    <n v="5008"/>
    <n v="9180"/>
  </r>
  <r>
    <s v="000261762"/>
    <x v="18"/>
    <n v="19"/>
    <s v="December"/>
    <n v="2021"/>
    <n v="63"/>
    <s v="Adults (35-64)"/>
    <s v="F"/>
    <s v="Australia"/>
    <s v="Queensland"/>
    <s v="Bikes"/>
    <s v="Mountain Bikes"/>
    <s v="Mountain-200 Black, 46"/>
    <n v="4"/>
    <n v="1252"/>
    <n v="2295"/>
    <n v="4172"/>
    <n v="5008"/>
    <n v="9180"/>
  </r>
  <r>
    <s v="000261763"/>
    <x v="18"/>
    <n v="19"/>
    <s v="December"/>
    <n v="2021"/>
    <n v="18"/>
    <s v="Youth (&lt;25)"/>
    <s v="M"/>
    <s v="Australia"/>
    <s v="South Australia"/>
    <s v="Bikes"/>
    <s v="Mountain Bikes"/>
    <s v="Mountain-500 Black, 40"/>
    <n v="2"/>
    <n v="295"/>
    <n v="540"/>
    <n v="490"/>
    <n v="590"/>
    <n v="1080"/>
  </r>
  <r>
    <s v="000261764"/>
    <x v="18"/>
    <n v="19"/>
    <s v="December"/>
    <n v="2021"/>
    <n v="56"/>
    <s v="Adults (35-64)"/>
    <s v="F"/>
    <s v="Germany"/>
    <s v="Hessen"/>
    <s v="Bikes"/>
    <s v="Mountain Bikes"/>
    <s v="Mountain-200 Black, 46"/>
    <n v="2"/>
    <n v="1252"/>
    <n v="2295"/>
    <n v="2086"/>
    <n v="2504"/>
    <n v="4590"/>
  </r>
  <r>
    <s v="000261765"/>
    <x v="18"/>
    <n v="19"/>
    <s v="December"/>
    <n v="2021"/>
    <n v="39"/>
    <s v="Adults (35-64)"/>
    <s v="F"/>
    <s v="United States"/>
    <s v="Washington"/>
    <s v="Bikes"/>
    <s v="Mountain Bikes"/>
    <s v="Mountain-200 Silver, 38"/>
    <n v="11"/>
    <n v="1266"/>
    <n v="2320"/>
    <n v="1054"/>
    <n v="13926"/>
    <n v="25520"/>
  </r>
  <r>
    <s v="000261766"/>
    <x v="19"/>
    <n v="20"/>
    <s v="December"/>
    <n v="2021"/>
    <n v="33"/>
    <s v="Young Adults (25-34)"/>
    <s v="F"/>
    <s v="Australia"/>
    <s v="Victoria"/>
    <s v="Bikes"/>
    <s v="Mountain Bikes"/>
    <s v="Mountain-100 Black, 38"/>
    <n v="4"/>
    <n v="1898"/>
    <n v="3375"/>
    <n v="5908"/>
    <n v="7592"/>
    <n v="13500"/>
  </r>
  <r>
    <s v="000261767"/>
    <x v="19"/>
    <n v="20"/>
    <s v="December"/>
    <n v="2021"/>
    <n v="57"/>
    <s v="Adults (35-64)"/>
    <s v="M"/>
    <s v="Australia"/>
    <s v="Queensland"/>
    <s v="Bikes"/>
    <s v="Mountain Bikes"/>
    <s v="Mountain-200 Black, 46"/>
    <n v="4"/>
    <n v="1252"/>
    <n v="2295"/>
    <n v="4172"/>
    <n v="5008"/>
    <n v="9180"/>
  </r>
  <r>
    <s v="000261768"/>
    <x v="19"/>
    <n v="20"/>
    <s v="December"/>
    <n v="2021"/>
    <n v="29"/>
    <s v="Young Adults (25-34)"/>
    <s v="M"/>
    <s v="Canada"/>
    <s v="British Columbia"/>
    <s v="Bikes"/>
    <s v="Mountain Bikes"/>
    <s v="Mountain-500 Black, 52"/>
    <n v="3"/>
    <n v="295"/>
    <n v="540"/>
    <n v="735"/>
    <n v="885"/>
    <n v="1620"/>
  </r>
  <r>
    <s v="000261769"/>
    <x v="19"/>
    <n v="20"/>
    <s v="December"/>
    <n v="2021"/>
    <n v="35"/>
    <s v="Adults (35-64)"/>
    <s v="F"/>
    <s v="Australia"/>
    <s v="Queensland"/>
    <s v="Bikes"/>
    <s v="Mountain Bikes"/>
    <s v="Mountain-200 Silver, 38"/>
    <n v="1"/>
    <n v="1266"/>
    <n v="2320"/>
    <n v="1054"/>
    <n v="1266"/>
    <n v="2320"/>
  </r>
  <r>
    <s v="000261770"/>
    <x v="19"/>
    <n v="20"/>
    <s v="December"/>
    <n v="2021"/>
    <n v="35"/>
    <s v="Adults (35-64)"/>
    <s v="M"/>
    <s v="Australia"/>
    <s v="Victoria"/>
    <s v="Bikes"/>
    <s v="Mountain Bikes"/>
    <s v="Mountain-200 Silver, 38"/>
    <n v="1"/>
    <n v="1266"/>
    <n v="2320"/>
    <n v="1054"/>
    <n v="1266"/>
    <n v="2320"/>
  </r>
  <r>
    <s v="000261771"/>
    <x v="20"/>
    <n v="21"/>
    <s v="December"/>
    <n v="2021"/>
    <n v="26"/>
    <s v="Young Adults (25-34)"/>
    <s v="M"/>
    <s v="France"/>
    <s v="Somme"/>
    <s v="Bikes"/>
    <s v="Mountain Bikes"/>
    <s v="Mountain-200 Silver, 38"/>
    <n v="3"/>
    <n v="1266"/>
    <n v="2320"/>
    <n v="3162"/>
    <n v="3798"/>
    <n v="6960"/>
  </r>
  <r>
    <s v="000261772"/>
    <x v="20"/>
    <n v="21"/>
    <s v="December"/>
    <n v="2021"/>
    <n v="23"/>
    <s v="Youth (&lt;25)"/>
    <s v="M"/>
    <s v="United Kingdom"/>
    <s v="England"/>
    <s v="Bikes"/>
    <s v="Mountain Bikes"/>
    <s v="Mountain-400-W Silver, 46"/>
    <n v="2"/>
    <n v="420"/>
    <n v="769"/>
    <n v="698"/>
    <n v="840"/>
    <n v="1538"/>
  </r>
  <r>
    <s v="000261773"/>
    <x v="21"/>
    <n v="22"/>
    <s v="December"/>
    <n v="2021"/>
    <n v="30"/>
    <s v="Young Adults (25-34)"/>
    <s v="F"/>
    <s v="United States"/>
    <s v="Washington"/>
    <s v="Bikes"/>
    <s v="Mountain Bikes"/>
    <s v="Mountain-200 Silver, 38"/>
    <n v="3"/>
    <n v="1266"/>
    <n v="2320"/>
    <n v="3162"/>
    <n v="3798"/>
    <n v="6960"/>
  </r>
  <r>
    <s v="000261774"/>
    <x v="21"/>
    <n v="22"/>
    <s v="December"/>
    <n v="2021"/>
    <n v="41"/>
    <s v="Adults (35-64)"/>
    <s v="M"/>
    <s v="United States"/>
    <s v="California"/>
    <s v="Bikes"/>
    <s v="Mountain Bikes"/>
    <s v="Mountain-200 Black, 42"/>
    <n v="3"/>
    <n v="1252"/>
    <n v="2295"/>
    <n v="3129"/>
    <n v="3756"/>
    <n v="6885"/>
  </r>
  <r>
    <s v="000261775"/>
    <x v="21"/>
    <n v="22"/>
    <s v="December"/>
    <n v="2021"/>
    <n v="19"/>
    <s v="Youth (&lt;25)"/>
    <s v="F"/>
    <s v="Australia"/>
    <s v="New South Wales"/>
    <s v="Bikes"/>
    <s v="Mountain Bikes"/>
    <s v="Mountain-500 Silver, 42"/>
    <n v="1"/>
    <n v="308"/>
    <n v="565"/>
    <n v="257"/>
    <n v="308"/>
    <n v="565"/>
  </r>
  <r>
    <s v="000261776"/>
    <x v="21"/>
    <n v="22"/>
    <s v="December"/>
    <n v="2021"/>
    <n v="25"/>
    <s v="Young Adults (25-34)"/>
    <s v="M"/>
    <s v="France"/>
    <s v="Seine (Paris)"/>
    <s v="Bikes"/>
    <s v="Mountain Bikes"/>
    <s v="Mountain-200 Black, 38"/>
    <n v="1"/>
    <n v="1252"/>
    <n v="2295"/>
    <n v="1043"/>
    <n v="1252"/>
    <n v="2295"/>
  </r>
  <r>
    <s v="000261777"/>
    <x v="21"/>
    <n v="22"/>
    <s v="December"/>
    <n v="2021"/>
    <n v="27"/>
    <s v="Young Adults (25-34)"/>
    <s v="F"/>
    <s v="Canada"/>
    <s v="British Columbia"/>
    <s v="Bikes"/>
    <s v="Mountain Bikes"/>
    <s v="Mountain-200 Black, 46"/>
    <n v="1"/>
    <n v="1252"/>
    <n v="2295"/>
    <n v="1043"/>
    <n v="1252"/>
    <n v="2295"/>
  </r>
  <r>
    <s v="000261778"/>
    <x v="21"/>
    <n v="22"/>
    <s v="December"/>
    <n v="2021"/>
    <n v="41"/>
    <s v="Adults (35-64)"/>
    <s v="M"/>
    <s v="Germany"/>
    <s v="Hessen"/>
    <s v="Bikes"/>
    <s v="Mountain Bikes"/>
    <s v="Mountain-200 Silver, 38"/>
    <n v="1"/>
    <n v="1266"/>
    <n v="2320"/>
    <n v="1054"/>
    <n v="1266"/>
    <n v="2320"/>
  </r>
  <r>
    <s v="000261779"/>
    <x v="22"/>
    <n v="23"/>
    <s v="December"/>
    <n v="2021"/>
    <n v="30"/>
    <s v="Young Adults (25-34)"/>
    <s v="F"/>
    <s v="United States"/>
    <s v="Oregon"/>
    <s v="Bikes"/>
    <s v="Mountain Bikes"/>
    <s v="Mountain-200 Silver, 42"/>
    <n v="1"/>
    <n v="1266"/>
    <n v="2320"/>
    <n v="1054"/>
    <n v="1266"/>
    <n v="2320"/>
  </r>
  <r>
    <s v="000261780"/>
    <x v="22"/>
    <n v="23"/>
    <s v="December"/>
    <n v="2021"/>
    <n v="31"/>
    <s v="Young Adults (25-34)"/>
    <s v="F"/>
    <s v="Canada"/>
    <s v="British Columbia"/>
    <s v="Bikes"/>
    <s v="Mountain Bikes"/>
    <s v="Mountain-200 Black, 42"/>
    <n v="1"/>
    <n v="1252"/>
    <n v="2295"/>
    <n v="1043"/>
    <n v="1252"/>
    <n v="2295"/>
  </r>
  <r>
    <s v="000261781"/>
    <x v="22"/>
    <n v="23"/>
    <s v="December"/>
    <n v="2021"/>
    <n v="35"/>
    <s v="Adults (35-64)"/>
    <s v="F"/>
    <s v="United States"/>
    <s v="California"/>
    <s v="Bikes"/>
    <s v="Mountain Bikes"/>
    <s v="Mountain-500 Black, 42"/>
    <n v="1"/>
    <n v="295"/>
    <n v="540"/>
    <n v="245"/>
    <n v="295"/>
    <n v="540"/>
  </r>
  <r>
    <s v="000261782"/>
    <x v="23"/>
    <n v="24"/>
    <s v="December"/>
    <n v="2021"/>
    <n v="38"/>
    <s v="Adults (35-64)"/>
    <s v="M"/>
    <s v="Australia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5AC42-F0A4-FB48-8E0A-DEA9AEE991C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9">
    <pivotField showAll="0"/>
    <pivotField axis="axisRow" numFmtId="14" showAll="0" sortType="de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1">
    <field x="1"/>
  </rowFields>
  <rowItems count="25">
    <i>
      <x v="18"/>
    </i>
    <i>
      <x v="17"/>
    </i>
    <i>
      <x v="19"/>
    </i>
    <i>
      <x v="11"/>
    </i>
    <i>
      <x v="7"/>
    </i>
    <i>
      <x v="4"/>
    </i>
    <i>
      <x v="21"/>
    </i>
    <i>
      <x v="10"/>
    </i>
    <i>
      <x v="9"/>
    </i>
    <i>
      <x v="6"/>
    </i>
    <i>
      <x v="5"/>
    </i>
    <i>
      <x v="12"/>
    </i>
    <i>
      <x v="20"/>
    </i>
    <i>
      <x/>
    </i>
    <i>
      <x v="15"/>
    </i>
    <i>
      <x v="3"/>
    </i>
    <i>
      <x v="23"/>
    </i>
    <i>
      <x v="16"/>
    </i>
    <i>
      <x v="2"/>
    </i>
    <i>
      <x v="13"/>
    </i>
    <i>
      <x v="1"/>
    </i>
    <i>
      <x v="22"/>
    </i>
    <i>
      <x v="8"/>
    </i>
    <i>
      <x v="14"/>
    </i>
    <i t="grand">
      <x/>
    </i>
  </rowItems>
  <colItems count="1">
    <i/>
  </colItems>
  <dataFields count="1">
    <dataField name="Sum of Order_Quantity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B722-56ED-574F-A206-A0E43D9E76E8}">
  <dimension ref="A3:E28"/>
  <sheetViews>
    <sheetView tabSelected="1" topLeftCell="A2" workbookViewId="0">
      <selection activeCell="H31" sqref="H31"/>
    </sheetView>
  </sheetViews>
  <sheetFormatPr baseColWidth="10" defaultRowHeight="15" x14ac:dyDescent="0.2"/>
  <cols>
    <col min="1" max="1" width="12.1640625" bestFit="1" customWidth="1"/>
    <col min="2" max="2" width="19" bestFit="1" customWidth="1"/>
    <col min="5" max="5" width="19.5" customWidth="1"/>
  </cols>
  <sheetData>
    <row r="3" spans="1:5" x14ac:dyDescent="0.2">
      <c r="A3" s="9" t="s">
        <v>156</v>
      </c>
      <c r="B3" t="s">
        <v>158</v>
      </c>
      <c r="D3" s="11" t="s">
        <v>156</v>
      </c>
      <c r="E3" s="11" t="s">
        <v>158</v>
      </c>
    </row>
    <row r="4" spans="1:5" x14ac:dyDescent="0.2">
      <c r="A4" s="10">
        <v>44549</v>
      </c>
      <c r="B4">
        <v>43</v>
      </c>
      <c r="D4" s="10">
        <v>44531</v>
      </c>
      <c r="E4">
        <v>5</v>
      </c>
    </row>
    <row r="5" spans="1:5" x14ac:dyDescent="0.2">
      <c r="A5" s="10">
        <v>44548</v>
      </c>
      <c r="B5">
        <v>19</v>
      </c>
      <c r="D5" s="10">
        <v>44532</v>
      </c>
      <c r="E5">
        <v>3</v>
      </c>
    </row>
    <row r="6" spans="1:5" x14ac:dyDescent="0.2">
      <c r="A6" s="10">
        <v>44550</v>
      </c>
      <c r="B6">
        <v>13</v>
      </c>
      <c r="D6" s="10">
        <v>44533</v>
      </c>
      <c r="E6">
        <v>4</v>
      </c>
    </row>
    <row r="7" spans="1:5" x14ac:dyDescent="0.2">
      <c r="A7" s="10">
        <v>44542</v>
      </c>
      <c r="B7">
        <v>12</v>
      </c>
      <c r="D7" s="10">
        <v>44534</v>
      </c>
      <c r="E7">
        <v>4</v>
      </c>
    </row>
    <row r="8" spans="1:5" x14ac:dyDescent="0.2">
      <c r="A8" s="10">
        <v>44538</v>
      </c>
      <c r="B8">
        <v>11</v>
      </c>
      <c r="D8" s="10">
        <v>44535</v>
      </c>
      <c r="E8">
        <v>10</v>
      </c>
    </row>
    <row r="9" spans="1:5" x14ac:dyDescent="0.2">
      <c r="A9" s="10">
        <v>44535</v>
      </c>
      <c r="B9">
        <v>10</v>
      </c>
      <c r="D9" s="10">
        <v>44536</v>
      </c>
      <c r="E9">
        <v>6</v>
      </c>
    </row>
    <row r="10" spans="1:5" x14ac:dyDescent="0.2">
      <c r="A10" s="10">
        <v>44552</v>
      </c>
      <c r="B10">
        <v>10</v>
      </c>
      <c r="D10" s="10">
        <v>44537</v>
      </c>
      <c r="E10">
        <v>6</v>
      </c>
    </row>
    <row r="11" spans="1:5" x14ac:dyDescent="0.2">
      <c r="A11" s="10">
        <v>44541</v>
      </c>
      <c r="B11">
        <v>8</v>
      </c>
      <c r="D11" s="10">
        <v>44538</v>
      </c>
      <c r="E11">
        <v>11</v>
      </c>
    </row>
    <row r="12" spans="1:5" x14ac:dyDescent="0.2">
      <c r="A12" s="10">
        <v>44540</v>
      </c>
      <c r="B12">
        <v>8</v>
      </c>
      <c r="D12" s="10">
        <v>44539</v>
      </c>
      <c r="E12">
        <v>3</v>
      </c>
    </row>
    <row r="13" spans="1:5" x14ac:dyDescent="0.2">
      <c r="A13" s="10">
        <v>44537</v>
      </c>
      <c r="B13">
        <v>6</v>
      </c>
      <c r="D13" s="10">
        <v>44540</v>
      </c>
      <c r="E13">
        <v>8</v>
      </c>
    </row>
    <row r="14" spans="1:5" x14ac:dyDescent="0.2">
      <c r="A14" s="10">
        <v>44536</v>
      </c>
      <c r="B14">
        <v>6</v>
      </c>
      <c r="D14" s="10">
        <v>44541</v>
      </c>
      <c r="E14">
        <v>8</v>
      </c>
    </row>
    <row r="15" spans="1:5" x14ac:dyDescent="0.2">
      <c r="A15" s="10">
        <v>44543</v>
      </c>
      <c r="B15">
        <v>6</v>
      </c>
      <c r="D15" s="10">
        <v>44542</v>
      </c>
      <c r="E15">
        <v>12</v>
      </c>
    </row>
    <row r="16" spans="1:5" x14ac:dyDescent="0.2">
      <c r="A16" s="10">
        <v>44551</v>
      </c>
      <c r="B16">
        <v>5</v>
      </c>
      <c r="D16" s="10">
        <v>44543</v>
      </c>
      <c r="E16">
        <v>6</v>
      </c>
    </row>
    <row r="17" spans="1:5" x14ac:dyDescent="0.2">
      <c r="A17" s="10">
        <v>44531</v>
      </c>
      <c r="B17">
        <v>5</v>
      </c>
      <c r="D17" s="10">
        <v>44544</v>
      </c>
      <c r="E17">
        <v>4</v>
      </c>
    </row>
    <row r="18" spans="1:5" x14ac:dyDescent="0.2">
      <c r="A18" s="10">
        <v>44546</v>
      </c>
      <c r="B18">
        <v>5</v>
      </c>
      <c r="D18" s="10">
        <v>44545</v>
      </c>
      <c r="E18">
        <v>1</v>
      </c>
    </row>
    <row r="19" spans="1:5" x14ac:dyDescent="0.2">
      <c r="A19" s="10">
        <v>44534</v>
      </c>
      <c r="B19">
        <v>4</v>
      </c>
      <c r="D19" s="10">
        <v>44546</v>
      </c>
      <c r="E19">
        <v>5</v>
      </c>
    </row>
    <row r="20" spans="1:5" x14ac:dyDescent="0.2">
      <c r="A20" s="10">
        <v>44554</v>
      </c>
      <c r="B20">
        <v>4</v>
      </c>
      <c r="D20" s="10">
        <v>44547</v>
      </c>
      <c r="E20">
        <v>4</v>
      </c>
    </row>
    <row r="21" spans="1:5" x14ac:dyDescent="0.2">
      <c r="A21" s="10">
        <v>44547</v>
      </c>
      <c r="B21">
        <v>4</v>
      </c>
      <c r="D21" s="10">
        <v>44548</v>
      </c>
      <c r="E21">
        <v>19</v>
      </c>
    </row>
    <row r="22" spans="1:5" x14ac:dyDescent="0.2">
      <c r="A22" s="10">
        <v>44533</v>
      </c>
      <c r="B22">
        <v>4</v>
      </c>
      <c r="D22" s="10">
        <v>44549</v>
      </c>
      <c r="E22">
        <v>43</v>
      </c>
    </row>
    <row r="23" spans="1:5" x14ac:dyDescent="0.2">
      <c r="A23" s="10">
        <v>44544</v>
      </c>
      <c r="B23">
        <v>4</v>
      </c>
      <c r="D23" s="10">
        <v>44550</v>
      </c>
      <c r="E23">
        <v>13</v>
      </c>
    </row>
    <row r="24" spans="1:5" x14ac:dyDescent="0.2">
      <c r="A24" s="10">
        <v>44532</v>
      </c>
      <c r="B24">
        <v>3</v>
      </c>
      <c r="D24" s="10">
        <v>44551</v>
      </c>
      <c r="E24">
        <v>5</v>
      </c>
    </row>
    <row r="25" spans="1:5" x14ac:dyDescent="0.2">
      <c r="A25" s="10">
        <v>44553</v>
      </c>
      <c r="B25">
        <v>3</v>
      </c>
      <c r="D25" s="10">
        <v>44552</v>
      </c>
      <c r="E25">
        <v>10</v>
      </c>
    </row>
    <row r="26" spans="1:5" x14ac:dyDescent="0.2">
      <c r="A26" s="10">
        <v>44539</v>
      </c>
      <c r="B26">
        <v>3</v>
      </c>
      <c r="D26" s="10">
        <v>44553</v>
      </c>
      <c r="E26">
        <v>3</v>
      </c>
    </row>
    <row r="27" spans="1:5" x14ac:dyDescent="0.2">
      <c r="A27" s="10">
        <v>44545</v>
      </c>
      <c r="B27">
        <v>1</v>
      </c>
      <c r="D27" s="10">
        <v>44554</v>
      </c>
      <c r="E27">
        <v>4</v>
      </c>
    </row>
    <row r="28" spans="1:5" x14ac:dyDescent="0.2">
      <c r="A28" s="10" t="s">
        <v>157</v>
      </c>
      <c r="B28">
        <v>197</v>
      </c>
    </row>
  </sheetData>
  <sortState xmlns:xlrd2="http://schemas.microsoft.com/office/spreadsheetml/2017/richdata2" ref="D4:E27">
    <sortCondition ref="D3:D27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13.33203125" bestFit="1" customWidth="1"/>
    <col min="2" max="2" width="10.6640625" bestFit="1" customWidth="1"/>
    <col min="4" max="4" width="10.1640625" bestFit="1" customWidth="1"/>
    <col min="7" max="7" width="19.6640625" style="8" bestFit="1" customWidth="1"/>
    <col min="9" max="9" width="15.5" bestFit="1" customWidth="1"/>
    <col min="10" max="10" width="19.83203125" bestFit="1" customWidth="1"/>
    <col min="12" max="12" width="14.83203125" bestFit="1" customWidth="1"/>
    <col min="13" max="13" width="25" bestFit="1" customWidth="1"/>
    <col min="15" max="15" width="10.5" bestFit="1" customWidth="1"/>
    <col min="16" max="16" width="11" bestFit="1" customWidth="1"/>
    <col min="17" max="17" width="9.83203125" bestFit="1" customWidth="1"/>
    <col min="18" max="18" width="11.5" bestFit="1" customWidth="1"/>
    <col min="19" max="19" width="10.83203125" bestFit="1" customWidth="1"/>
  </cols>
  <sheetData>
    <row r="1" spans="1:1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 x14ac:dyDescent="0.2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George Charles Jr.</cp:lastModifiedBy>
  <cp:revision/>
  <dcterms:created xsi:type="dcterms:W3CDTF">2022-11-04T20:14:11Z</dcterms:created>
  <dcterms:modified xsi:type="dcterms:W3CDTF">2026-07-19T18:55:48Z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